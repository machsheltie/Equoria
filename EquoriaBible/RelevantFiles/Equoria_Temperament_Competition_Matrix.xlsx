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" sheetId="1" r:id="rId5"/>
    <sheet state="visible" name="Long Format" sheetId="2" r:id="rId6"/>
    <sheet state="visible" name="Notes" sheetId="3" r:id="rId7"/>
  </sheets>
  <definedNames>
    <definedName hidden="1" localSheetId="1" name="_xlnm._FilterDatabase">'Long Format'!$A$1:$D$254</definedName>
  </definedNames>
  <calcPr/>
</workbook>
</file>

<file path=xl/sharedStrings.xml><?xml version="1.0" encoding="utf-8"?>
<sst xmlns="http://schemas.openxmlformats.org/spreadsheetml/2006/main" count="833" uniqueCount="67">
  <si>
    <t>Equoria: Temperament Effects by Competition</t>
  </si>
  <si>
    <t>Green = Positive · Red = Negative · Gray = Neutral. Edit any cell to Positive / Negative / Neutral; count columns update automatically.</t>
  </si>
  <si>
    <t>Competition</t>
  </si>
  <si>
    <t>Spirited</t>
  </si>
  <si>
    <t>Nervous</t>
  </si>
  <si>
    <t>Calm</t>
  </si>
  <si>
    <t>Bold</t>
  </si>
  <si>
    <t>Steady</t>
  </si>
  <si>
    <t>Independent</t>
  </si>
  <si>
    <t>Reactive</t>
  </si>
  <si>
    <t>Stubborn</t>
  </si>
  <si>
    <t>Playful</t>
  </si>
  <si>
    <t>Lazy</t>
  </si>
  <si>
    <t>Aggressive</t>
  </si>
  <si>
    <t># Positive</t>
  </si>
  <si>
    <t># Negative</t>
  </si>
  <si>
    <t># Neutral</t>
  </si>
  <si>
    <t>Western Pleasure</t>
  </si>
  <si>
    <t>Neutral</t>
  </si>
  <si>
    <t>Negative</t>
  </si>
  <si>
    <t>Positive</t>
  </si>
  <si>
    <t>Reining</t>
  </si>
  <si>
    <t>Cutting</t>
  </si>
  <si>
    <t>Barrel Racing</t>
  </si>
  <si>
    <t>Roping</t>
  </si>
  <si>
    <t>Team Penning</t>
  </si>
  <si>
    <t>Rodeo</t>
  </si>
  <si>
    <t>Hunter</t>
  </si>
  <si>
    <t>Saddleseat</t>
  </si>
  <si>
    <t>Endurance</t>
  </si>
  <si>
    <t>Eventing</t>
  </si>
  <si>
    <t>Dressage</t>
  </si>
  <si>
    <t>Show Jumping</t>
  </si>
  <si>
    <t>Vaulting</t>
  </si>
  <si>
    <t>Polo</t>
  </si>
  <si>
    <t>Cross Country</t>
  </si>
  <si>
    <t>Combined Driving</t>
  </si>
  <si>
    <t>Fine Harness</t>
  </si>
  <si>
    <t>Gaited</t>
  </si>
  <si>
    <t>Gymkhana</t>
  </si>
  <si>
    <t>Steeplechase</t>
  </si>
  <si>
    <t>Harness Racing</t>
  </si>
  <si>
    <t>Racing</t>
  </si>
  <si>
    <t>Temperament</t>
  </si>
  <si>
    <t>Effect</t>
  </si>
  <si>
    <t>Modifier</t>
  </si>
  <si>
    <t>Effect links to the Matrix tab (green text). Modifier = +1 / -1 / 0 for easy import into game data.</t>
  </si>
  <si>
    <t>Competition(s)</t>
  </si>
  <si>
    <t>Reasoning</t>
  </si>
  <si>
    <t>Lazy = Positive: a slow, low-energy jog and lope is what's judged.</t>
  </si>
  <si>
    <t>Independent = Positive (works the cow on a loose rein); Reactive = Positive (instant response to the cow); Aggressive = Neutral (intimidating cattle helps, aggression toward people/horses doesn't).</t>
  </si>
  <si>
    <t>Reining / Dressage / Combined Driving / Fine Harness / Saddleseat</t>
  </si>
  <si>
    <t>Independent = Negative: anticipating or overriding cues is penalized.</t>
  </si>
  <si>
    <t>Saddleseat / Fine Harness</t>
  </si>
  <si>
    <t>Spirited and Bold = Positive (judged on animation, brilliance, presence); Calm = Neutral (too quiet looks flat).</t>
  </si>
  <si>
    <t>Endurance / Eventing / Cross Country / Steeplechase / Polo / Roping</t>
  </si>
  <si>
    <t>Independent = Positive: the horse must self-rate and read terrain, fences, cattle or the ball.</t>
  </si>
  <si>
    <t>Nervous = Neutral: anxious horses are often the most careful about rails.</t>
  </si>
  <si>
    <t>Racing / Harness Racing / Steeplechase / Polo</t>
  </si>
  <si>
    <t>Aggressive = Neutral: competitive drive helps, but gate and barn problems cancel it out.</t>
  </si>
  <si>
    <t>Steady = Positive, Playful = Negative: breaking stride is penalized.</t>
  </si>
  <si>
    <t>Playful = Positive (game-loving ponies thrive); Calm = Positive (tolerates flags and mounting/dismounting at speed).</t>
  </si>
  <si>
    <t>Treated as all-around rodeo/ranch performance, not bucking stock. For bucking stock, Spirited, Aggressive and Stubborn would lean Positive.</t>
  </si>
  <si>
    <t>General</t>
  </si>
  <si>
    <t>Nervous, Stubborn and Aggressive are negative almost everywhere, which matches real life. Adjust these if every temperament should have a niche.</t>
  </si>
  <si>
    <t>Spelling</t>
  </si>
  <si>
    <t>The sport is spelled 'Reining' (not 'Reigning').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</si>
</sst>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rgb="FF9C0006"/>
      <name val="Arial"/>
    </font>
    <font>
      <sz val="11.0"/>
      <color rgb="FF006100"/>
      <name val="Arial"/>
    </font>
    <font>
      <sz val="11.0"/>
      <color rgb="FF595959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008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A2E1F"/>
        <bgColor rgb="FF3A2E1F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EDEDED"/>
        <bgColor rgb="FFEDEDE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3" fontId="5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shrinkToFit="0" vertical="bottom" wrapText="0"/>
    </xf>
    <xf borderId="1" fillId="4" fontId="6" numFmtId="0" xfId="0" applyAlignment="1" applyBorder="1" applyFill="1" applyFont="1">
      <alignment horizontal="center" shrinkToFit="0" vertical="bottom" wrapText="0"/>
    </xf>
    <xf borderId="1" fillId="5" fontId="7" numFmtId="0" xfId="0" applyAlignment="1" applyBorder="1" applyFill="1" applyFont="1">
      <alignment horizontal="center" shrinkToFit="0" vertical="bottom" wrapText="0"/>
    </xf>
    <xf borderId="1" fillId="5" fontId="7" numFmtId="0" xfId="0" applyAlignment="1" applyBorder="1" applyFill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2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595959"/>
      </font>
      <fill>
        <patternFill patternType="solid">
          <fgColor rgb="FFEDEDED"/>
          <bgColor rgb="FFEDED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0.0"/>
    <col customWidth="1" min="2" max="15" width="12.0"/>
    <col customWidth="1" min="16" max="26" width="8.71"/>
  </cols>
  <sheetData>
    <row r="1">
      <c r="A1" s="1" t="s">
        <v>0</v>
      </c>
    </row>
    <row r="2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>
      <c r="A5" s="4" t="s">
        <v>17</v>
      </c>
      <c r="B5" s="5" t="s">
        <v>18</v>
      </c>
      <c r="C5" s="6" t="s">
        <v>19</v>
      </c>
      <c r="D5" s="7" t="s">
        <v>20</v>
      </c>
      <c r="E5" s="8" t="s">
        <v>18</v>
      </c>
      <c r="F5" s="7" t="s">
        <v>20</v>
      </c>
      <c r="G5" s="9" t="s">
        <v>19</v>
      </c>
      <c r="H5" s="6" t="s">
        <v>19</v>
      </c>
      <c r="I5" s="6" t="s">
        <v>19</v>
      </c>
      <c r="J5" s="5" t="s">
        <v>18</v>
      </c>
      <c r="K5" s="7" t="s">
        <v>20</v>
      </c>
      <c r="L5" s="6" t="s">
        <v>19</v>
      </c>
      <c r="M5" s="10">
        <f t="shared" ref="M5:M27" si="1">COUNTIF($B5:$L5,"Positive")</f>
        <v>3</v>
      </c>
      <c r="N5" s="10">
        <f t="shared" ref="N5:N27" si="2">COUNTIF($B5:$L5,"Negative")</f>
        <v>5</v>
      </c>
      <c r="O5" s="10">
        <f t="shared" ref="O5:O27" si="3">COUNTIF($B5:$L5,"Neutral")</f>
        <v>3</v>
      </c>
    </row>
    <row r="6">
      <c r="A6" s="4" t="s">
        <v>21</v>
      </c>
      <c r="B6" s="9" t="s">
        <v>20</v>
      </c>
      <c r="C6" s="6" t="s">
        <v>19</v>
      </c>
      <c r="D6" s="11" t="s">
        <v>18</v>
      </c>
      <c r="E6" s="9" t="s">
        <v>20</v>
      </c>
      <c r="F6" s="7" t="s">
        <v>20</v>
      </c>
      <c r="G6" s="5" t="s">
        <v>18</v>
      </c>
      <c r="H6" s="5" t="s">
        <v>18</v>
      </c>
      <c r="I6" s="6" t="s">
        <v>19</v>
      </c>
      <c r="J6" s="6" t="s">
        <v>19</v>
      </c>
      <c r="K6" s="6" t="s">
        <v>19</v>
      </c>
      <c r="L6" s="6" t="s">
        <v>19</v>
      </c>
      <c r="M6" s="10">
        <f t="shared" si="1"/>
        <v>3</v>
      </c>
      <c r="N6" s="10">
        <f t="shared" si="2"/>
        <v>5</v>
      </c>
      <c r="O6" s="10">
        <f t="shared" si="3"/>
        <v>3</v>
      </c>
    </row>
    <row r="7">
      <c r="A7" s="4" t="s">
        <v>22</v>
      </c>
      <c r="B7" s="7" t="s">
        <v>20</v>
      </c>
      <c r="C7" s="6" t="s">
        <v>19</v>
      </c>
      <c r="D7" s="7" t="s">
        <v>20</v>
      </c>
      <c r="E7" s="7" t="s">
        <v>20</v>
      </c>
      <c r="F7" s="8" t="s">
        <v>18</v>
      </c>
      <c r="G7" s="7" t="s">
        <v>20</v>
      </c>
      <c r="H7" s="7" t="s">
        <v>20</v>
      </c>
      <c r="I7" s="6" t="s">
        <v>19</v>
      </c>
      <c r="J7" s="8" t="s">
        <v>18</v>
      </c>
      <c r="K7" s="6" t="s">
        <v>19</v>
      </c>
      <c r="L7" s="8" t="s">
        <v>18</v>
      </c>
      <c r="M7" s="10">
        <f t="shared" si="1"/>
        <v>5</v>
      </c>
      <c r="N7" s="10">
        <f t="shared" si="2"/>
        <v>3</v>
      </c>
      <c r="O7" s="10">
        <f t="shared" si="3"/>
        <v>3</v>
      </c>
    </row>
    <row r="8">
      <c r="A8" s="4" t="s">
        <v>23</v>
      </c>
      <c r="B8" s="7" t="s">
        <v>20</v>
      </c>
      <c r="C8" s="6" t="s">
        <v>19</v>
      </c>
      <c r="D8" s="8" t="s">
        <v>18</v>
      </c>
      <c r="E8" s="7" t="s">
        <v>20</v>
      </c>
      <c r="F8" s="8" t="s">
        <v>18</v>
      </c>
      <c r="G8" s="8" t="s">
        <v>18</v>
      </c>
      <c r="H8" s="8" t="s">
        <v>18</v>
      </c>
      <c r="I8" s="6" t="s">
        <v>19</v>
      </c>
      <c r="J8" s="8" t="s">
        <v>18</v>
      </c>
      <c r="K8" s="6" t="s">
        <v>19</v>
      </c>
      <c r="L8" s="6" t="s">
        <v>19</v>
      </c>
      <c r="M8" s="10">
        <f t="shared" si="1"/>
        <v>2</v>
      </c>
      <c r="N8" s="10">
        <f t="shared" si="2"/>
        <v>4</v>
      </c>
      <c r="O8" s="10">
        <f t="shared" si="3"/>
        <v>5</v>
      </c>
    </row>
    <row r="9">
      <c r="A9" s="4" t="s">
        <v>24</v>
      </c>
      <c r="B9" s="8" t="s">
        <v>18</v>
      </c>
      <c r="C9" s="6" t="s">
        <v>19</v>
      </c>
      <c r="D9" s="7" t="s">
        <v>20</v>
      </c>
      <c r="E9" s="7" t="s">
        <v>20</v>
      </c>
      <c r="F9" s="7" t="s">
        <v>20</v>
      </c>
      <c r="G9" s="7" t="s">
        <v>20</v>
      </c>
      <c r="H9" s="5" t="s">
        <v>18</v>
      </c>
      <c r="I9" s="6" t="s">
        <v>19</v>
      </c>
      <c r="J9" s="6" t="s">
        <v>19</v>
      </c>
      <c r="K9" s="6" t="s">
        <v>19</v>
      </c>
      <c r="L9" s="6" t="s">
        <v>19</v>
      </c>
      <c r="M9" s="10">
        <f t="shared" si="1"/>
        <v>4</v>
      </c>
      <c r="N9" s="10">
        <f t="shared" si="2"/>
        <v>5</v>
      </c>
      <c r="O9" s="10">
        <f t="shared" si="3"/>
        <v>2</v>
      </c>
    </row>
    <row r="10">
      <c r="A10" s="4" t="s">
        <v>25</v>
      </c>
      <c r="B10" s="7" t="s">
        <v>20</v>
      </c>
      <c r="C10" s="6" t="s">
        <v>19</v>
      </c>
      <c r="D10" s="8" t="s">
        <v>18</v>
      </c>
      <c r="E10" s="7" t="s">
        <v>20</v>
      </c>
      <c r="F10" s="8" t="s">
        <v>18</v>
      </c>
      <c r="G10" s="9" t="s">
        <v>20</v>
      </c>
      <c r="H10" s="8" t="s">
        <v>18</v>
      </c>
      <c r="I10" s="6" t="s">
        <v>19</v>
      </c>
      <c r="J10" s="8" t="s">
        <v>18</v>
      </c>
      <c r="K10" s="6" t="s">
        <v>19</v>
      </c>
      <c r="L10" s="6" t="s">
        <v>19</v>
      </c>
      <c r="M10" s="10">
        <f t="shared" si="1"/>
        <v>3</v>
      </c>
      <c r="N10" s="10">
        <f t="shared" si="2"/>
        <v>4</v>
      </c>
      <c r="O10" s="10">
        <f t="shared" si="3"/>
        <v>4</v>
      </c>
    </row>
    <row r="11">
      <c r="A11" s="4" t="s">
        <v>26</v>
      </c>
      <c r="B11" s="7" t="s">
        <v>20</v>
      </c>
      <c r="C11" s="6" t="s">
        <v>19</v>
      </c>
      <c r="D11" s="8" t="s">
        <v>18</v>
      </c>
      <c r="E11" s="7" t="s">
        <v>20</v>
      </c>
      <c r="F11" s="7" t="s">
        <v>20</v>
      </c>
      <c r="G11" s="8" t="s">
        <v>18</v>
      </c>
      <c r="H11" s="6" t="s">
        <v>19</v>
      </c>
      <c r="I11" s="6" t="s">
        <v>19</v>
      </c>
      <c r="J11" s="8" t="s">
        <v>18</v>
      </c>
      <c r="K11" s="6" t="s">
        <v>19</v>
      </c>
      <c r="L11" s="6" t="s">
        <v>19</v>
      </c>
      <c r="M11" s="10">
        <f t="shared" si="1"/>
        <v>3</v>
      </c>
      <c r="N11" s="10">
        <f t="shared" si="2"/>
        <v>5</v>
      </c>
      <c r="O11" s="10">
        <f t="shared" si="3"/>
        <v>3</v>
      </c>
    </row>
    <row r="12">
      <c r="A12" s="4" t="s">
        <v>27</v>
      </c>
      <c r="B12" s="6" t="s">
        <v>19</v>
      </c>
      <c r="C12" s="6" t="s">
        <v>19</v>
      </c>
      <c r="D12" s="7" t="s">
        <v>20</v>
      </c>
      <c r="E12" s="8" t="s">
        <v>18</v>
      </c>
      <c r="F12" s="7" t="s">
        <v>20</v>
      </c>
      <c r="G12" s="8" t="s">
        <v>18</v>
      </c>
      <c r="H12" s="6" t="s">
        <v>19</v>
      </c>
      <c r="I12" s="6" t="s">
        <v>19</v>
      </c>
      <c r="J12" s="5" t="s">
        <v>18</v>
      </c>
      <c r="K12" s="8" t="s">
        <v>18</v>
      </c>
      <c r="L12" s="6" t="s">
        <v>19</v>
      </c>
      <c r="M12" s="10">
        <f t="shared" si="1"/>
        <v>2</v>
      </c>
      <c r="N12" s="10">
        <f t="shared" si="2"/>
        <v>5</v>
      </c>
      <c r="O12" s="10">
        <f t="shared" si="3"/>
        <v>4</v>
      </c>
    </row>
    <row r="13">
      <c r="A13" s="4" t="s">
        <v>28</v>
      </c>
      <c r="B13" s="7" t="s">
        <v>20</v>
      </c>
      <c r="C13" s="6" t="s">
        <v>19</v>
      </c>
      <c r="D13" s="8" t="s">
        <v>18</v>
      </c>
      <c r="E13" s="7" t="s">
        <v>20</v>
      </c>
      <c r="F13" s="8" t="s">
        <v>18</v>
      </c>
      <c r="G13" s="6" t="s">
        <v>19</v>
      </c>
      <c r="H13" s="5" t="s">
        <v>18</v>
      </c>
      <c r="I13" s="6" t="s">
        <v>19</v>
      </c>
      <c r="J13" s="8" t="s">
        <v>18</v>
      </c>
      <c r="K13" s="6" t="s">
        <v>19</v>
      </c>
      <c r="L13" s="6" t="s">
        <v>19</v>
      </c>
      <c r="M13" s="10">
        <f t="shared" si="1"/>
        <v>2</v>
      </c>
      <c r="N13" s="10">
        <f t="shared" si="2"/>
        <v>5</v>
      </c>
      <c r="O13" s="10">
        <f t="shared" si="3"/>
        <v>4</v>
      </c>
    </row>
    <row r="14">
      <c r="A14" s="4" t="s">
        <v>29</v>
      </c>
      <c r="B14" s="8" t="s">
        <v>18</v>
      </c>
      <c r="C14" s="6" t="s">
        <v>19</v>
      </c>
      <c r="D14" s="7" t="s">
        <v>20</v>
      </c>
      <c r="E14" s="7" t="s">
        <v>20</v>
      </c>
      <c r="F14" s="7" t="s">
        <v>20</v>
      </c>
      <c r="G14" s="7" t="s">
        <v>20</v>
      </c>
      <c r="H14" s="6" t="s">
        <v>19</v>
      </c>
      <c r="I14" s="6" t="s">
        <v>19</v>
      </c>
      <c r="J14" s="8" t="s">
        <v>18</v>
      </c>
      <c r="K14" s="6" t="s">
        <v>19</v>
      </c>
      <c r="L14" s="6" t="s">
        <v>19</v>
      </c>
      <c r="M14" s="10">
        <f t="shared" si="1"/>
        <v>4</v>
      </c>
      <c r="N14" s="10">
        <f t="shared" si="2"/>
        <v>5</v>
      </c>
      <c r="O14" s="10">
        <f t="shared" si="3"/>
        <v>2</v>
      </c>
    </row>
    <row r="15">
      <c r="A15" s="4" t="s">
        <v>30</v>
      </c>
      <c r="B15" s="7" t="s">
        <v>20</v>
      </c>
      <c r="C15" s="6" t="s">
        <v>19</v>
      </c>
      <c r="D15" s="7" t="s">
        <v>20</v>
      </c>
      <c r="E15" s="7" t="s">
        <v>20</v>
      </c>
      <c r="F15" s="8" t="s">
        <v>18</v>
      </c>
      <c r="G15" s="7" t="s">
        <v>20</v>
      </c>
      <c r="H15" s="6" t="s">
        <v>19</v>
      </c>
      <c r="I15" s="6" t="s">
        <v>19</v>
      </c>
      <c r="J15" s="8" t="s">
        <v>18</v>
      </c>
      <c r="K15" s="6" t="s">
        <v>19</v>
      </c>
      <c r="L15" s="6" t="s">
        <v>19</v>
      </c>
      <c r="M15" s="10">
        <f t="shared" si="1"/>
        <v>4</v>
      </c>
      <c r="N15" s="10">
        <f t="shared" si="2"/>
        <v>5</v>
      </c>
      <c r="O15" s="10">
        <f t="shared" si="3"/>
        <v>2</v>
      </c>
    </row>
    <row r="16">
      <c r="A16" s="4" t="s">
        <v>31</v>
      </c>
      <c r="B16" s="8" t="s">
        <v>18</v>
      </c>
      <c r="C16" s="6" t="s">
        <v>19</v>
      </c>
      <c r="D16" s="7" t="s">
        <v>20</v>
      </c>
      <c r="E16" s="8" t="s">
        <v>18</v>
      </c>
      <c r="F16" s="7" t="s">
        <v>20</v>
      </c>
      <c r="G16" s="6" t="s">
        <v>19</v>
      </c>
      <c r="H16" s="6" t="s">
        <v>19</v>
      </c>
      <c r="I16" s="6" t="s">
        <v>19</v>
      </c>
      <c r="J16" s="5" t="s">
        <v>18</v>
      </c>
      <c r="K16" s="5" t="s">
        <v>18</v>
      </c>
      <c r="L16" s="6" t="s">
        <v>19</v>
      </c>
      <c r="M16" s="10">
        <f t="shared" si="1"/>
        <v>2</v>
      </c>
      <c r="N16" s="10">
        <f t="shared" si="2"/>
        <v>5</v>
      </c>
      <c r="O16" s="10">
        <f t="shared" si="3"/>
        <v>4</v>
      </c>
    </row>
    <row r="17">
      <c r="A17" s="4" t="s">
        <v>32</v>
      </c>
      <c r="B17" s="7" t="s">
        <v>20</v>
      </c>
      <c r="C17" s="9" t="s">
        <v>19</v>
      </c>
      <c r="D17" s="8" t="s">
        <v>18</v>
      </c>
      <c r="E17" s="7" t="s">
        <v>20</v>
      </c>
      <c r="F17" s="8" t="s">
        <v>18</v>
      </c>
      <c r="G17" s="8" t="s">
        <v>18</v>
      </c>
      <c r="H17" s="8" t="s">
        <v>18</v>
      </c>
      <c r="I17" s="6" t="s">
        <v>19</v>
      </c>
      <c r="J17" s="8" t="s">
        <v>18</v>
      </c>
      <c r="K17" s="6" t="s">
        <v>19</v>
      </c>
      <c r="L17" s="6" t="s">
        <v>19</v>
      </c>
      <c r="M17" s="10">
        <f t="shared" si="1"/>
        <v>2</v>
      </c>
      <c r="N17" s="10">
        <f t="shared" si="2"/>
        <v>4</v>
      </c>
      <c r="O17" s="10">
        <f t="shared" si="3"/>
        <v>5</v>
      </c>
    </row>
    <row r="18">
      <c r="A18" s="4" t="s">
        <v>33</v>
      </c>
      <c r="B18" s="6" t="s">
        <v>19</v>
      </c>
      <c r="C18" s="6" t="s">
        <v>19</v>
      </c>
      <c r="D18" s="7" t="s">
        <v>20</v>
      </c>
      <c r="E18" s="8" t="s">
        <v>18</v>
      </c>
      <c r="F18" s="7" t="s">
        <v>20</v>
      </c>
      <c r="G18" s="9" t="s">
        <v>18</v>
      </c>
      <c r="H18" s="6" t="s">
        <v>19</v>
      </c>
      <c r="I18" s="6" t="s">
        <v>19</v>
      </c>
      <c r="J18" s="5" t="s">
        <v>18</v>
      </c>
      <c r="K18" s="8" t="s">
        <v>18</v>
      </c>
      <c r="L18" s="6" t="s">
        <v>19</v>
      </c>
      <c r="M18" s="10">
        <f t="shared" si="1"/>
        <v>2</v>
      </c>
      <c r="N18" s="10">
        <f t="shared" si="2"/>
        <v>5</v>
      </c>
      <c r="O18" s="10">
        <f t="shared" si="3"/>
        <v>4</v>
      </c>
    </row>
    <row r="19">
      <c r="A19" s="4" t="s">
        <v>34</v>
      </c>
      <c r="B19" s="7" t="s">
        <v>20</v>
      </c>
      <c r="C19" s="6" t="s">
        <v>19</v>
      </c>
      <c r="D19" s="8" t="s">
        <v>18</v>
      </c>
      <c r="E19" s="7" t="s">
        <v>20</v>
      </c>
      <c r="F19" s="8" t="s">
        <v>18</v>
      </c>
      <c r="G19" s="7" t="s">
        <v>20</v>
      </c>
      <c r="H19" s="8" t="s">
        <v>18</v>
      </c>
      <c r="I19" s="6" t="s">
        <v>19</v>
      </c>
      <c r="J19" s="8" t="s">
        <v>18</v>
      </c>
      <c r="K19" s="6" t="s">
        <v>19</v>
      </c>
      <c r="L19" s="8" t="s">
        <v>18</v>
      </c>
      <c r="M19" s="10">
        <f t="shared" si="1"/>
        <v>3</v>
      </c>
      <c r="N19" s="10">
        <f t="shared" si="2"/>
        <v>3</v>
      </c>
      <c r="O19" s="10">
        <f t="shared" si="3"/>
        <v>5</v>
      </c>
    </row>
    <row r="20">
      <c r="A20" s="4" t="s">
        <v>35</v>
      </c>
      <c r="B20" s="7" t="s">
        <v>20</v>
      </c>
      <c r="C20" s="6" t="s">
        <v>19</v>
      </c>
      <c r="D20" s="8" t="s">
        <v>18</v>
      </c>
      <c r="E20" s="7" t="s">
        <v>20</v>
      </c>
      <c r="F20" s="8" t="s">
        <v>18</v>
      </c>
      <c r="G20" s="7" t="s">
        <v>20</v>
      </c>
      <c r="H20" s="6" t="s">
        <v>19</v>
      </c>
      <c r="I20" s="6" t="s">
        <v>19</v>
      </c>
      <c r="J20" s="8" t="s">
        <v>18</v>
      </c>
      <c r="K20" s="6" t="s">
        <v>19</v>
      </c>
      <c r="L20" s="6" t="s">
        <v>19</v>
      </c>
      <c r="M20" s="10">
        <f t="shared" si="1"/>
        <v>3</v>
      </c>
      <c r="N20" s="10">
        <f t="shared" si="2"/>
        <v>5</v>
      </c>
      <c r="O20" s="10">
        <f t="shared" si="3"/>
        <v>3</v>
      </c>
    </row>
    <row r="21" ht="15.75" customHeight="1">
      <c r="A21" s="4" t="s">
        <v>36</v>
      </c>
      <c r="B21" s="8" t="s">
        <v>18</v>
      </c>
      <c r="C21" s="6" t="s">
        <v>19</v>
      </c>
      <c r="D21" s="7" t="s">
        <v>20</v>
      </c>
      <c r="E21" s="7" t="s">
        <v>20</v>
      </c>
      <c r="F21" s="7" t="s">
        <v>20</v>
      </c>
      <c r="G21" s="6" t="s">
        <v>19</v>
      </c>
      <c r="H21" s="6" t="s">
        <v>19</v>
      </c>
      <c r="I21" s="6" t="s">
        <v>19</v>
      </c>
      <c r="J21" s="5" t="s">
        <v>18</v>
      </c>
      <c r="K21" s="6" t="s">
        <v>19</v>
      </c>
      <c r="L21" s="6" t="s">
        <v>19</v>
      </c>
      <c r="M21" s="10">
        <f t="shared" si="1"/>
        <v>3</v>
      </c>
      <c r="N21" s="10">
        <f t="shared" si="2"/>
        <v>6</v>
      </c>
      <c r="O21" s="10">
        <f t="shared" si="3"/>
        <v>2</v>
      </c>
    </row>
    <row r="22" ht="15.75" customHeight="1">
      <c r="A22" s="4" t="s">
        <v>37</v>
      </c>
      <c r="B22" s="7" t="s">
        <v>20</v>
      </c>
      <c r="C22" s="6" t="s">
        <v>19</v>
      </c>
      <c r="D22" s="8" t="s">
        <v>18</v>
      </c>
      <c r="E22" s="7" t="s">
        <v>20</v>
      </c>
      <c r="F22" s="8" t="s">
        <v>18</v>
      </c>
      <c r="G22" s="6" t="s">
        <v>19</v>
      </c>
      <c r="H22" s="6" t="s">
        <v>19</v>
      </c>
      <c r="I22" s="6" t="s">
        <v>19</v>
      </c>
      <c r="J22" s="5" t="s">
        <v>18</v>
      </c>
      <c r="K22" s="6" t="s">
        <v>19</v>
      </c>
      <c r="L22" s="6" t="s">
        <v>19</v>
      </c>
      <c r="M22" s="10">
        <f t="shared" si="1"/>
        <v>2</v>
      </c>
      <c r="N22" s="10">
        <f t="shared" si="2"/>
        <v>6</v>
      </c>
      <c r="O22" s="10">
        <f t="shared" si="3"/>
        <v>3</v>
      </c>
    </row>
    <row r="23" ht="15.75" customHeight="1">
      <c r="A23" s="4" t="s">
        <v>38</v>
      </c>
      <c r="B23" s="9" t="s">
        <v>20</v>
      </c>
      <c r="C23" s="6" t="s">
        <v>19</v>
      </c>
      <c r="D23" s="7" t="s">
        <v>20</v>
      </c>
      <c r="E23" s="8" t="s">
        <v>18</v>
      </c>
      <c r="F23" s="11" t="s">
        <v>18</v>
      </c>
      <c r="G23" s="8" t="s">
        <v>18</v>
      </c>
      <c r="H23" s="6" t="s">
        <v>19</v>
      </c>
      <c r="I23" s="6" t="s">
        <v>19</v>
      </c>
      <c r="J23" s="8" t="s">
        <v>18</v>
      </c>
      <c r="K23" s="6" t="s">
        <v>19</v>
      </c>
      <c r="L23" s="6" t="s">
        <v>19</v>
      </c>
      <c r="M23" s="10">
        <f t="shared" si="1"/>
        <v>2</v>
      </c>
      <c r="N23" s="10">
        <f t="shared" si="2"/>
        <v>5</v>
      </c>
      <c r="O23" s="10">
        <f t="shared" si="3"/>
        <v>4</v>
      </c>
    </row>
    <row r="24" ht="15.75" customHeight="1">
      <c r="A24" s="4" t="s">
        <v>39</v>
      </c>
      <c r="B24" s="7" t="s">
        <v>20</v>
      </c>
      <c r="C24" s="6" t="s">
        <v>19</v>
      </c>
      <c r="D24" s="7" t="s">
        <v>20</v>
      </c>
      <c r="E24" s="7" t="s">
        <v>20</v>
      </c>
      <c r="F24" s="8" t="s">
        <v>18</v>
      </c>
      <c r="G24" s="8" t="s">
        <v>18</v>
      </c>
      <c r="H24" s="8" t="s">
        <v>18</v>
      </c>
      <c r="I24" s="6" t="s">
        <v>19</v>
      </c>
      <c r="J24" s="7" t="s">
        <v>20</v>
      </c>
      <c r="K24" s="6" t="s">
        <v>19</v>
      </c>
      <c r="L24" s="6" t="s">
        <v>19</v>
      </c>
      <c r="M24" s="10">
        <f t="shared" si="1"/>
        <v>4</v>
      </c>
      <c r="N24" s="10">
        <f t="shared" si="2"/>
        <v>4</v>
      </c>
      <c r="O24" s="10">
        <f t="shared" si="3"/>
        <v>3</v>
      </c>
    </row>
    <row r="25" ht="15.75" customHeight="1">
      <c r="A25" s="4" t="s">
        <v>40</v>
      </c>
      <c r="B25" s="7" t="s">
        <v>20</v>
      </c>
      <c r="C25" s="6" t="s">
        <v>19</v>
      </c>
      <c r="D25" s="8" t="s">
        <v>18</v>
      </c>
      <c r="E25" s="7" t="s">
        <v>20</v>
      </c>
      <c r="F25" s="8" t="s">
        <v>18</v>
      </c>
      <c r="G25" s="7" t="s">
        <v>20</v>
      </c>
      <c r="H25" s="6" t="s">
        <v>19</v>
      </c>
      <c r="I25" s="6" t="s">
        <v>19</v>
      </c>
      <c r="J25" s="8" t="s">
        <v>18</v>
      </c>
      <c r="K25" s="6" t="s">
        <v>19</v>
      </c>
      <c r="L25" s="8" t="s">
        <v>18</v>
      </c>
      <c r="M25" s="10">
        <f t="shared" si="1"/>
        <v>3</v>
      </c>
      <c r="N25" s="10">
        <f t="shared" si="2"/>
        <v>4</v>
      </c>
      <c r="O25" s="10">
        <f t="shared" si="3"/>
        <v>4</v>
      </c>
    </row>
    <row r="26" ht="15.75" customHeight="1">
      <c r="A26" s="4" t="s">
        <v>41</v>
      </c>
      <c r="B26" s="7" t="s">
        <v>20</v>
      </c>
      <c r="C26" s="6" t="s">
        <v>19</v>
      </c>
      <c r="D26" s="8" t="s">
        <v>18</v>
      </c>
      <c r="E26" s="8" t="s">
        <v>18</v>
      </c>
      <c r="F26" s="7" t="s">
        <v>20</v>
      </c>
      <c r="G26" s="8" t="s">
        <v>18</v>
      </c>
      <c r="H26" s="6" t="s">
        <v>19</v>
      </c>
      <c r="I26" s="6" t="s">
        <v>19</v>
      </c>
      <c r="J26" s="6" t="s">
        <v>19</v>
      </c>
      <c r="K26" s="6" t="s">
        <v>19</v>
      </c>
      <c r="L26" s="8" t="s">
        <v>18</v>
      </c>
      <c r="M26" s="10">
        <f t="shared" si="1"/>
        <v>2</v>
      </c>
      <c r="N26" s="10">
        <f t="shared" si="2"/>
        <v>5</v>
      </c>
      <c r="O26" s="10">
        <f t="shared" si="3"/>
        <v>4</v>
      </c>
    </row>
    <row r="27" ht="15.75" customHeight="1">
      <c r="A27" s="4" t="s">
        <v>42</v>
      </c>
      <c r="B27" s="7" t="s">
        <v>20</v>
      </c>
      <c r="C27" s="6" t="s">
        <v>19</v>
      </c>
      <c r="D27" s="8" t="s">
        <v>18</v>
      </c>
      <c r="E27" s="7" t="s">
        <v>20</v>
      </c>
      <c r="F27" s="8" t="s">
        <v>18</v>
      </c>
      <c r="G27" s="8" t="s">
        <v>18</v>
      </c>
      <c r="H27" s="8" t="s">
        <v>18</v>
      </c>
      <c r="I27" s="6" t="s">
        <v>19</v>
      </c>
      <c r="J27" s="8" t="s">
        <v>18</v>
      </c>
      <c r="K27" s="6" t="s">
        <v>19</v>
      </c>
      <c r="L27" s="8" t="s">
        <v>18</v>
      </c>
      <c r="M27" s="10">
        <f t="shared" si="1"/>
        <v>2</v>
      </c>
      <c r="N27" s="10">
        <f t="shared" si="2"/>
        <v>3</v>
      </c>
      <c r="O27" s="10">
        <f t="shared" si="3"/>
        <v>6</v>
      </c>
    </row>
    <row r="28" ht="15.75" customHeight="1"/>
    <row r="29" ht="15.75" customHeight="1">
      <c r="A29" s="4" t="s">
        <v>14</v>
      </c>
      <c r="B29" s="10">
        <f t="shared" ref="B29:L29" si="4">COUNTIF(B$5:B$27,"Positive")</f>
        <v>16</v>
      </c>
      <c r="C29" s="10">
        <f t="shared" si="4"/>
        <v>0</v>
      </c>
      <c r="D29" s="10">
        <f t="shared" si="4"/>
        <v>11</v>
      </c>
      <c r="E29" s="10">
        <f t="shared" si="4"/>
        <v>17</v>
      </c>
      <c r="F29" s="10">
        <f t="shared" si="4"/>
        <v>10</v>
      </c>
      <c r="G29" s="10">
        <f t="shared" si="4"/>
        <v>8</v>
      </c>
      <c r="H29" s="10">
        <f t="shared" si="4"/>
        <v>1</v>
      </c>
      <c r="I29" s="10">
        <f t="shared" si="4"/>
        <v>0</v>
      </c>
      <c r="J29" s="10">
        <f t="shared" si="4"/>
        <v>1</v>
      </c>
      <c r="K29" s="10">
        <f t="shared" si="4"/>
        <v>1</v>
      </c>
      <c r="L29" s="10">
        <f t="shared" si="4"/>
        <v>0</v>
      </c>
    </row>
    <row r="30" ht="15.75" customHeight="1">
      <c r="A30" s="4" t="s">
        <v>15</v>
      </c>
      <c r="B30" s="10">
        <f t="shared" ref="B30:L30" si="5">COUNTIF(B$5:B$27,"Negative")</f>
        <v>2</v>
      </c>
      <c r="C30" s="10">
        <f t="shared" si="5"/>
        <v>23</v>
      </c>
      <c r="D30" s="10">
        <f t="shared" si="5"/>
        <v>0</v>
      </c>
      <c r="E30" s="10">
        <f t="shared" si="5"/>
        <v>0</v>
      </c>
      <c r="F30" s="10">
        <f t="shared" si="5"/>
        <v>0</v>
      </c>
      <c r="G30" s="10">
        <f t="shared" si="5"/>
        <v>5</v>
      </c>
      <c r="H30" s="10">
        <f t="shared" si="5"/>
        <v>13</v>
      </c>
      <c r="I30" s="10">
        <f t="shared" si="5"/>
        <v>23</v>
      </c>
      <c r="J30" s="10">
        <f t="shared" si="5"/>
        <v>3</v>
      </c>
      <c r="K30" s="10">
        <f t="shared" si="5"/>
        <v>19</v>
      </c>
      <c r="L30" s="10">
        <f t="shared" si="5"/>
        <v>18</v>
      </c>
    </row>
    <row r="31" ht="15.75" customHeight="1">
      <c r="A31" s="4" t="s">
        <v>16</v>
      </c>
      <c r="B31" s="10">
        <f t="shared" ref="B31:L31" si="6">COUNTIF(B$5:B$27,"Neutral")</f>
        <v>5</v>
      </c>
      <c r="C31" s="10">
        <f t="shared" si="6"/>
        <v>0</v>
      </c>
      <c r="D31" s="10">
        <f t="shared" si="6"/>
        <v>12</v>
      </c>
      <c r="E31" s="10">
        <f t="shared" si="6"/>
        <v>6</v>
      </c>
      <c r="F31" s="10">
        <f t="shared" si="6"/>
        <v>13</v>
      </c>
      <c r="G31" s="10">
        <f t="shared" si="6"/>
        <v>10</v>
      </c>
      <c r="H31" s="10">
        <f t="shared" si="6"/>
        <v>9</v>
      </c>
      <c r="I31" s="10">
        <f t="shared" si="6"/>
        <v>0</v>
      </c>
      <c r="J31" s="10">
        <f t="shared" si="6"/>
        <v>19</v>
      </c>
      <c r="K31" s="10">
        <f t="shared" si="6"/>
        <v>3</v>
      </c>
      <c r="L31" s="10">
        <f t="shared" si="6"/>
        <v>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5:L27">
    <cfRule type="cellIs" dxfId="0" priority="1" operator="equal">
      <formula>"Positive"</formula>
    </cfRule>
  </conditionalFormatting>
  <conditionalFormatting sqref="B5:L27">
    <cfRule type="cellIs" dxfId="1" priority="2" operator="equal">
      <formula>"Negative"</formula>
    </cfRule>
  </conditionalFormatting>
  <conditionalFormatting sqref="B5:L27">
    <cfRule type="cellIs" dxfId="2" priority="3" operator="equal">
      <formula>"Neutral"</formula>
    </cfRule>
  </conditionalFormatting>
  <dataValidations>
    <dataValidation type="list" allowBlank="1" sqref="B5:L27">
      <formula1>"Positive,Negative,Neutral"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12.0"/>
    <col customWidth="1" min="4" max="4" width="10.0"/>
    <col customWidth="1" min="5" max="26" width="8.71"/>
  </cols>
  <sheetData>
    <row r="1">
      <c r="A1" s="12" t="s">
        <v>2</v>
      </c>
      <c r="B1" s="12" t="s">
        <v>43</v>
      </c>
      <c r="C1" s="12" t="s">
        <v>44</v>
      </c>
      <c r="D1" s="12" t="s">
        <v>45</v>
      </c>
    </row>
    <row r="2">
      <c r="A2" s="13" t="s">
        <v>17</v>
      </c>
      <c r="B2" s="13" t="s">
        <v>3</v>
      </c>
      <c r="C2" s="14" t="str">
        <f>Matrix!B5</f>
        <v>Neutral</v>
      </c>
      <c r="D2" s="13">
        <f t="shared" ref="D2:D254" si="1">IF(C2="Positive",1,IF(C2="Negative",-1,0))</f>
        <v>0</v>
      </c>
    </row>
    <row r="3">
      <c r="A3" s="13" t="s">
        <v>17</v>
      </c>
      <c r="B3" s="13" t="s">
        <v>4</v>
      </c>
      <c r="C3" s="14" t="str">
        <f>Matrix!C5</f>
        <v>Negative</v>
      </c>
      <c r="D3" s="13">
        <f t="shared" si="1"/>
        <v>-1</v>
      </c>
    </row>
    <row r="4">
      <c r="A4" s="13" t="s">
        <v>17</v>
      </c>
      <c r="B4" s="13" t="s">
        <v>5</v>
      </c>
      <c r="C4" s="14" t="str">
        <f>Matrix!D5</f>
        <v>Positive</v>
      </c>
      <c r="D4" s="13">
        <f t="shared" si="1"/>
        <v>1</v>
      </c>
    </row>
    <row r="5">
      <c r="A5" s="13" t="s">
        <v>17</v>
      </c>
      <c r="B5" s="13" t="s">
        <v>6</v>
      </c>
      <c r="C5" s="14" t="str">
        <f>Matrix!E5</f>
        <v>Neutral</v>
      </c>
      <c r="D5" s="13">
        <f t="shared" si="1"/>
        <v>0</v>
      </c>
    </row>
    <row r="6">
      <c r="A6" s="13" t="s">
        <v>17</v>
      </c>
      <c r="B6" s="13" t="s">
        <v>7</v>
      </c>
      <c r="C6" s="14" t="str">
        <f>Matrix!F5</f>
        <v>Positive</v>
      </c>
      <c r="D6" s="13">
        <f t="shared" si="1"/>
        <v>1</v>
      </c>
    </row>
    <row r="7">
      <c r="A7" s="13" t="s">
        <v>17</v>
      </c>
      <c r="B7" s="13" t="s">
        <v>8</v>
      </c>
      <c r="C7" s="14" t="str">
        <f>Matrix!G5</f>
        <v>Negative</v>
      </c>
      <c r="D7" s="13">
        <f t="shared" si="1"/>
        <v>-1</v>
      </c>
    </row>
    <row r="8">
      <c r="A8" s="13" t="s">
        <v>17</v>
      </c>
      <c r="B8" s="13" t="s">
        <v>9</v>
      </c>
      <c r="C8" s="14" t="str">
        <f>Matrix!H5</f>
        <v>Negative</v>
      </c>
      <c r="D8" s="13">
        <f t="shared" si="1"/>
        <v>-1</v>
      </c>
    </row>
    <row r="9">
      <c r="A9" s="13" t="s">
        <v>17</v>
      </c>
      <c r="B9" s="13" t="s">
        <v>10</v>
      </c>
      <c r="C9" s="14" t="str">
        <f>Matrix!I5</f>
        <v>Negative</v>
      </c>
      <c r="D9" s="13">
        <f t="shared" si="1"/>
        <v>-1</v>
      </c>
    </row>
    <row r="10">
      <c r="A10" s="13" t="s">
        <v>17</v>
      </c>
      <c r="B10" s="13" t="s">
        <v>11</v>
      </c>
      <c r="C10" s="14" t="str">
        <f>Matrix!J5</f>
        <v>Neutral</v>
      </c>
      <c r="D10" s="13">
        <f t="shared" si="1"/>
        <v>0</v>
      </c>
    </row>
    <row r="11">
      <c r="A11" s="13" t="s">
        <v>17</v>
      </c>
      <c r="B11" s="13" t="s">
        <v>12</v>
      </c>
      <c r="C11" s="14" t="str">
        <f>Matrix!K5</f>
        <v>Positive</v>
      </c>
      <c r="D11" s="13">
        <f t="shared" si="1"/>
        <v>1</v>
      </c>
    </row>
    <row r="12">
      <c r="A12" s="13" t="s">
        <v>17</v>
      </c>
      <c r="B12" s="13" t="s">
        <v>13</v>
      </c>
      <c r="C12" s="14" t="str">
        <f>Matrix!L5</f>
        <v>Negative</v>
      </c>
      <c r="D12" s="13">
        <f t="shared" si="1"/>
        <v>-1</v>
      </c>
    </row>
    <row r="13">
      <c r="A13" s="13" t="s">
        <v>21</v>
      </c>
      <c r="B13" s="13" t="s">
        <v>3</v>
      </c>
      <c r="C13" s="14" t="str">
        <f>Matrix!B6</f>
        <v>Positive</v>
      </c>
      <c r="D13" s="13">
        <f t="shared" si="1"/>
        <v>1</v>
      </c>
    </row>
    <row r="14">
      <c r="A14" s="13" t="s">
        <v>21</v>
      </c>
      <c r="B14" s="13" t="s">
        <v>4</v>
      </c>
      <c r="C14" s="14" t="str">
        <f>Matrix!C6</f>
        <v>Negative</v>
      </c>
      <c r="D14" s="13">
        <f t="shared" si="1"/>
        <v>-1</v>
      </c>
    </row>
    <row r="15">
      <c r="A15" s="13" t="s">
        <v>21</v>
      </c>
      <c r="B15" s="13" t="s">
        <v>5</v>
      </c>
      <c r="C15" s="14" t="str">
        <f>Matrix!D6</f>
        <v>Neutral</v>
      </c>
      <c r="D15" s="13">
        <f t="shared" si="1"/>
        <v>0</v>
      </c>
    </row>
    <row r="16">
      <c r="A16" s="13" t="s">
        <v>21</v>
      </c>
      <c r="B16" s="13" t="s">
        <v>6</v>
      </c>
      <c r="C16" s="14" t="str">
        <f>Matrix!E6</f>
        <v>Positive</v>
      </c>
      <c r="D16" s="13">
        <f t="shared" si="1"/>
        <v>1</v>
      </c>
    </row>
    <row r="17">
      <c r="A17" s="13" t="s">
        <v>21</v>
      </c>
      <c r="B17" s="13" t="s">
        <v>7</v>
      </c>
      <c r="C17" s="14" t="str">
        <f>Matrix!F6</f>
        <v>Positive</v>
      </c>
      <c r="D17" s="13">
        <f t="shared" si="1"/>
        <v>1</v>
      </c>
    </row>
    <row r="18">
      <c r="A18" s="13" t="s">
        <v>21</v>
      </c>
      <c r="B18" s="13" t="s">
        <v>8</v>
      </c>
      <c r="C18" s="14" t="str">
        <f>Matrix!G6</f>
        <v>Neutral</v>
      </c>
      <c r="D18" s="13">
        <f t="shared" si="1"/>
        <v>0</v>
      </c>
    </row>
    <row r="19">
      <c r="A19" s="13" t="s">
        <v>21</v>
      </c>
      <c r="B19" s="13" t="s">
        <v>9</v>
      </c>
      <c r="C19" s="14" t="str">
        <f>Matrix!H6</f>
        <v>Neutral</v>
      </c>
      <c r="D19" s="13">
        <f t="shared" si="1"/>
        <v>0</v>
      </c>
    </row>
    <row r="20">
      <c r="A20" s="13" t="s">
        <v>21</v>
      </c>
      <c r="B20" s="13" t="s">
        <v>10</v>
      </c>
      <c r="C20" s="14" t="str">
        <f>Matrix!I6</f>
        <v>Negative</v>
      </c>
      <c r="D20" s="13">
        <f t="shared" si="1"/>
        <v>-1</v>
      </c>
    </row>
    <row r="21" ht="15.75" customHeight="1">
      <c r="A21" s="13" t="s">
        <v>21</v>
      </c>
      <c r="B21" s="13" t="s">
        <v>11</v>
      </c>
      <c r="C21" s="14" t="str">
        <f>Matrix!J6</f>
        <v>Negative</v>
      </c>
      <c r="D21" s="13">
        <f t="shared" si="1"/>
        <v>-1</v>
      </c>
    </row>
    <row r="22" ht="15.75" customHeight="1">
      <c r="A22" s="13" t="s">
        <v>21</v>
      </c>
      <c r="B22" s="13" t="s">
        <v>12</v>
      </c>
      <c r="C22" s="14" t="str">
        <f>Matrix!K6</f>
        <v>Negative</v>
      </c>
      <c r="D22" s="13">
        <f t="shared" si="1"/>
        <v>-1</v>
      </c>
    </row>
    <row r="23" ht="15.75" customHeight="1">
      <c r="A23" s="13" t="s">
        <v>21</v>
      </c>
      <c r="B23" s="13" t="s">
        <v>13</v>
      </c>
      <c r="C23" s="14" t="str">
        <f>Matrix!L6</f>
        <v>Negative</v>
      </c>
      <c r="D23" s="13">
        <f t="shared" si="1"/>
        <v>-1</v>
      </c>
    </row>
    <row r="24" ht="15.75" customHeight="1">
      <c r="A24" s="13" t="s">
        <v>22</v>
      </c>
      <c r="B24" s="13" t="s">
        <v>3</v>
      </c>
      <c r="C24" s="14" t="str">
        <f>Matrix!B7</f>
        <v>Positive</v>
      </c>
      <c r="D24" s="13">
        <f t="shared" si="1"/>
        <v>1</v>
      </c>
    </row>
    <row r="25" ht="15.75" customHeight="1">
      <c r="A25" s="13" t="s">
        <v>22</v>
      </c>
      <c r="B25" s="13" t="s">
        <v>4</v>
      </c>
      <c r="C25" s="14" t="str">
        <f>Matrix!C7</f>
        <v>Negative</v>
      </c>
      <c r="D25" s="13">
        <f t="shared" si="1"/>
        <v>-1</v>
      </c>
    </row>
    <row r="26" ht="15.75" customHeight="1">
      <c r="A26" s="13" t="s">
        <v>22</v>
      </c>
      <c r="B26" s="13" t="s">
        <v>5</v>
      </c>
      <c r="C26" s="14" t="str">
        <f>Matrix!D7</f>
        <v>Positive</v>
      </c>
      <c r="D26" s="13">
        <f t="shared" si="1"/>
        <v>1</v>
      </c>
    </row>
    <row r="27" ht="15.75" customHeight="1">
      <c r="A27" s="13" t="s">
        <v>22</v>
      </c>
      <c r="B27" s="13" t="s">
        <v>6</v>
      </c>
      <c r="C27" s="14" t="str">
        <f>Matrix!E7</f>
        <v>Positive</v>
      </c>
      <c r="D27" s="13">
        <f t="shared" si="1"/>
        <v>1</v>
      </c>
    </row>
    <row r="28" ht="15.75" customHeight="1">
      <c r="A28" s="13" t="s">
        <v>22</v>
      </c>
      <c r="B28" s="13" t="s">
        <v>7</v>
      </c>
      <c r="C28" s="14" t="str">
        <f>Matrix!F7</f>
        <v>Neutral</v>
      </c>
      <c r="D28" s="13">
        <f t="shared" si="1"/>
        <v>0</v>
      </c>
    </row>
    <row r="29" ht="15.75" customHeight="1">
      <c r="A29" s="13" t="s">
        <v>22</v>
      </c>
      <c r="B29" s="13" t="s">
        <v>8</v>
      </c>
      <c r="C29" s="14" t="str">
        <f>Matrix!G7</f>
        <v>Positive</v>
      </c>
      <c r="D29" s="13">
        <f t="shared" si="1"/>
        <v>1</v>
      </c>
    </row>
    <row r="30" ht="15.75" customHeight="1">
      <c r="A30" s="13" t="s">
        <v>22</v>
      </c>
      <c r="B30" s="13" t="s">
        <v>9</v>
      </c>
      <c r="C30" s="14" t="str">
        <f>Matrix!H7</f>
        <v>Positive</v>
      </c>
      <c r="D30" s="13">
        <f t="shared" si="1"/>
        <v>1</v>
      </c>
    </row>
    <row r="31" ht="15.75" customHeight="1">
      <c r="A31" s="13" t="s">
        <v>22</v>
      </c>
      <c r="B31" s="13" t="s">
        <v>10</v>
      </c>
      <c r="C31" s="14" t="str">
        <f>Matrix!I7</f>
        <v>Negative</v>
      </c>
      <c r="D31" s="13">
        <f t="shared" si="1"/>
        <v>-1</v>
      </c>
    </row>
    <row r="32" ht="15.75" customHeight="1">
      <c r="A32" s="13" t="s">
        <v>22</v>
      </c>
      <c r="B32" s="13" t="s">
        <v>11</v>
      </c>
      <c r="C32" s="14" t="str">
        <f>Matrix!J7</f>
        <v>Neutral</v>
      </c>
      <c r="D32" s="13">
        <f t="shared" si="1"/>
        <v>0</v>
      </c>
    </row>
    <row r="33" ht="15.75" customHeight="1">
      <c r="A33" s="13" t="s">
        <v>22</v>
      </c>
      <c r="B33" s="13" t="s">
        <v>12</v>
      </c>
      <c r="C33" s="14" t="str">
        <f>Matrix!K7</f>
        <v>Negative</v>
      </c>
      <c r="D33" s="13">
        <f t="shared" si="1"/>
        <v>-1</v>
      </c>
    </row>
    <row r="34" ht="15.75" customHeight="1">
      <c r="A34" s="13" t="s">
        <v>22</v>
      </c>
      <c r="B34" s="13" t="s">
        <v>13</v>
      </c>
      <c r="C34" s="14" t="str">
        <f>Matrix!L7</f>
        <v>Neutral</v>
      </c>
      <c r="D34" s="13">
        <f t="shared" si="1"/>
        <v>0</v>
      </c>
    </row>
    <row r="35" ht="15.75" customHeight="1">
      <c r="A35" s="13" t="s">
        <v>23</v>
      </c>
      <c r="B35" s="13" t="s">
        <v>3</v>
      </c>
      <c r="C35" s="14" t="str">
        <f>Matrix!B8</f>
        <v>Positive</v>
      </c>
      <c r="D35" s="13">
        <f t="shared" si="1"/>
        <v>1</v>
      </c>
    </row>
    <row r="36" ht="15.75" customHeight="1">
      <c r="A36" s="13" t="s">
        <v>23</v>
      </c>
      <c r="B36" s="13" t="s">
        <v>4</v>
      </c>
      <c r="C36" s="14" t="str">
        <f>Matrix!C8</f>
        <v>Negative</v>
      </c>
      <c r="D36" s="13">
        <f t="shared" si="1"/>
        <v>-1</v>
      </c>
    </row>
    <row r="37" ht="15.75" customHeight="1">
      <c r="A37" s="13" t="s">
        <v>23</v>
      </c>
      <c r="B37" s="13" t="s">
        <v>5</v>
      </c>
      <c r="C37" s="14" t="str">
        <f>Matrix!D8</f>
        <v>Neutral</v>
      </c>
      <c r="D37" s="13">
        <f t="shared" si="1"/>
        <v>0</v>
      </c>
    </row>
    <row r="38" ht="15.75" customHeight="1">
      <c r="A38" s="13" t="s">
        <v>23</v>
      </c>
      <c r="B38" s="13" t="s">
        <v>6</v>
      </c>
      <c r="C38" s="14" t="str">
        <f>Matrix!E8</f>
        <v>Positive</v>
      </c>
      <c r="D38" s="13">
        <f t="shared" si="1"/>
        <v>1</v>
      </c>
    </row>
    <row r="39" ht="15.75" customHeight="1">
      <c r="A39" s="13" t="s">
        <v>23</v>
      </c>
      <c r="B39" s="13" t="s">
        <v>7</v>
      </c>
      <c r="C39" s="14" t="str">
        <f>Matrix!F8</f>
        <v>Neutral</v>
      </c>
      <c r="D39" s="13">
        <f t="shared" si="1"/>
        <v>0</v>
      </c>
    </row>
    <row r="40" ht="15.75" customHeight="1">
      <c r="A40" s="13" t="s">
        <v>23</v>
      </c>
      <c r="B40" s="13" t="s">
        <v>8</v>
      </c>
      <c r="C40" s="14" t="str">
        <f>Matrix!G8</f>
        <v>Neutral</v>
      </c>
      <c r="D40" s="13">
        <f t="shared" si="1"/>
        <v>0</v>
      </c>
    </row>
    <row r="41" ht="15.75" customHeight="1">
      <c r="A41" s="13" t="s">
        <v>23</v>
      </c>
      <c r="B41" s="13" t="s">
        <v>9</v>
      </c>
      <c r="C41" s="14" t="str">
        <f>Matrix!H8</f>
        <v>Neutral</v>
      </c>
      <c r="D41" s="13">
        <f t="shared" si="1"/>
        <v>0</v>
      </c>
    </row>
    <row r="42" ht="15.75" customHeight="1">
      <c r="A42" s="13" t="s">
        <v>23</v>
      </c>
      <c r="B42" s="13" t="s">
        <v>10</v>
      </c>
      <c r="C42" s="14" t="str">
        <f>Matrix!I8</f>
        <v>Negative</v>
      </c>
      <c r="D42" s="13">
        <f t="shared" si="1"/>
        <v>-1</v>
      </c>
    </row>
    <row r="43" ht="15.75" customHeight="1">
      <c r="A43" s="13" t="s">
        <v>23</v>
      </c>
      <c r="B43" s="13" t="s">
        <v>11</v>
      </c>
      <c r="C43" s="14" t="str">
        <f>Matrix!J8</f>
        <v>Neutral</v>
      </c>
      <c r="D43" s="13">
        <f t="shared" si="1"/>
        <v>0</v>
      </c>
    </row>
    <row r="44" ht="15.75" customHeight="1">
      <c r="A44" s="13" t="s">
        <v>23</v>
      </c>
      <c r="B44" s="13" t="s">
        <v>12</v>
      </c>
      <c r="C44" s="14" t="str">
        <f>Matrix!K8</f>
        <v>Negative</v>
      </c>
      <c r="D44" s="13">
        <f t="shared" si="1"/>
        <v>-1</v>
      </c>
    </row>
    <row r="45" ht="15.75" customHeight="1">
      <c r="A45" s="13" t="s">
        <v>23</v>
      </c>
      <c r="B45" s="13" t="s">
        <v>13</v>
      </c>
      <c r="C45" s="14" t="str">
        <f>Matrix!L8</f>
        <v>Negative</v>
      </c>
      <c r="D45" s="13">
        <f t="shared" si="1"/>
        <v>-1</v>
      </c>
    </row>
    <row r="46" ht="15.75" customHeight="1">
      <c r="A46" s="13" t="s">
        <v>24</v>
      </c>
      <c r="B46" s="13" t="s">
        <v>3</v>
      </c>
      <c r="C46" s="14" t="str">
        <f>Matrix!B9</f>
        <v>Neutral</v>
      </c>
      <c r="D46" s="13">
        <f t="shared" si="1"/>
        <v>0</v>
      </c>
    </row>
    <row r="47" ht="15.75" customHeight="1">
      <c r="A47" s="13" t="s">
        <v>24</v>
      </c>
      <c r="B47" s="13" t="s">
        <v>4</v>
      </c>
      <c r="C47" s="14" t="str">
        <f>Matrix!C9</f>
        <v>Negative</v>
      </c>
      <c r="D47" s="13">
        <f t="shared" si="1"/>
        <v>-1</v>
      </c>
    </row>
    <row r="48" ht="15.75" customHeight="1">
      <c r="A48" s="13" t="s">
        <v>24</v>
      </c>
      <c r="B48" s="13" t="s">
        <v>5</v>
      </c>
      <c r="C48" s="14" t="str">
        <f>Matrix!D9</f>
        <v>Positive</v>
      </c>
      <c r="D48" s="13">
        <f t="shared" si="1"/>
        <v>1</v>
      </c>
    </row>
    <row r="49" ht="15.75" customHeight="1">
      <c r="A49" s="13" t="s">
        <v>24</v>
      </c>
      <c r="B49" s="13" t="s">
        <v>6</v>
      </c>
      <c r="C49" s="14" t="str">
        <f>Matrix!E9</f>
        <v>Positive</v>
      </c>
      <c r="D49" s="13">
        <f t="shared" si="1"/>
        <v>1</v>
      </c>
    </row>
    <row r="50" ht="15.75" customHeight="1">
      <c r="A50" s="13" t="s">
        <v>24</v>
      </c>
      <c r="B50" s="13" t="s">
        <v>7</v>
      </c>
      <c r="C50" s="14" t="str">
        <f>Matrix!F9</f>
        <v>Positive</v>
      </c>
      <c r="D50" s="13">
        <f t="shared" si="1"/>
        <v>1</v>
      </c>
    </row>
    <row r="51" ht="15.75" customHeight="1">
      <c r="A51" s="13" t="s">
        <v>24</v>
      </c>
      <c r="B51" s="13" t="s">
        <v>8</v>
      </c>
      <c r="C51" s="14" t="str">
        <f>Matrix!G9</f>
        <v>Positive</v>
      </c>
      <c r="D51" s="13">
        <f t="shared" si="1"/>
        <v>1</v>
      </c>
    </row>
    <row r="52" ht="15.75" customHeight="1">
      <c r="A52" s="13" t="s">
        <v>24</v>
      </c>
      <c r="B52" s="13" t="s">
        <v>9</v>
      </c>
      <c r="C52" s="14" t="str">
        <f>Matrix!H9</f>
        <v>Neutral</v>
      </c>
      <c r="D52" s="13">
        <f t="shared" si="1"/>
        <v>0</v>
      </c>
    </row>
    <row r="53" ht="15.75" customHeight="1">
      <c r="A53" s="13" t="s">
        <v>24</v>
      </c>
      <c r="B53" s="13" t="s">
        <v>10</v>
      </c>
      <c r="C53" s="14" t="str">
        <f>Matrix!I9</f>
        <v>Negative</v>
      </c>
      <c r="D53" s="13">
        <f t="shared" si="1"/>
        <v>-1</v>
      </c>
    </row>
    <row r="54" ht="15.75" customHeight="1">
      <c r="A54" s="13" t="s">
        <v>24</v>
      </c>
      <c r="B54" s="13" t="s">
        <v>11</v>
      </c>
      <c r="C54" s="14" t="str">
        <f>Matrix!J9</f>
        <v>Negative</v>
      </c>
      <c r="D54" s="13">
        <f t="shared" si="1"/>
        <v>-1</v>
      </c>
    </row>
    <row r="55" ht="15.75" customHeight="1">
      <c r="A55" s="13" t="s">
        <v>24</v>
      </c>
      <c r="B55" s="13" t="s">
        <v>12</v>
      </c>
      <c r="C55" s="14" t="str">
        <f>Matrix!K9</f>
        <v>Negative</v>
      </c>
      <c r="D55" s="13">
        <f t="shared" si="1"/>
        <v>-1</v>
      </c>
    </row>
    <row r="56" ht="15.75" customHeight="1">
      <c r="A56" s="13" t="s">
        <v>24</v>
      </c>
      <c r="B56" s="13" t="s">
        <v>13</v>
      </c>
      <c r="C56" s="14" t="str">
        <f>Matrix!L9</f>
        <v>Negative</v>
      </c>
      <c r="D56" s="13">
        <f t="shared" si="1"/>
        <v>-1</v>
      </c>
    </row>
    <row r="57" ht="15.75" customHeight="1">
      <c r="A57" s="13" t="s">
        <v>25</v>
      </c>
      <c r="B57" s="13" t="s">
        <v>3</v>
      </c>
      <c r="C57" s="14" t="str">
        <f>Matrix!B10</f>
        <v>Positive</v>
      </c>
      <c r="D57" s="13">
        <f t="shared" si="1"/>
        <v>1</v>
      </c>
    </row>
    <row r="58" ht="15.75" customHeight="1">
      <c r="A58" s="13" t="s">
        <v>25</v>
      </c>
      <c r="B58" s="13" t="s">
        <v>4</v>
      </c>
      <c r="C58" s="14" t="str">
        <f>Matrix!C10</f>
        <v>Negative</v>
      </c>
      <c r="D58" s="13">
        <f t="shared" si="1"/>
        <v>-1</v>
      </c>
    </row>
    <row r="59" ht="15.75" customHeight="1">
      <c r="A59" s="13" t="s">
        <v>25</v>
      </c>
      <c r="B59" s="13" t="s">
        <v>5</v>
      </c>
      <c r="C59" s="14" t="str">
        <f>Matrix!D10</f>
        <v>Neutral</v>
      </c>
      <c r="D59" s="13">
        <f t="shared" si="1"/>
        <v>0</v>
      </c>
    </row>
    <row r="60" ht="15.75" customHeight="1">
      <c r="A60" s="13" t="s">
        <v>25</v>
      </c>
      <c r="B60" s="13" t="s">
        <v>6</v>
      </c>
      <c r="C60" s="14" t="str">
        <f>Matrix!E10</f>
        <v>Positive</v>
      </c>
      <c r="D60" s="13">
        <f t="shared" si="1"/>
        <v>1</v>
      </c>
    </row>
    <row r="61" ht="15.75" customHeight="1">
      <c r="A61" s="13" t="s">
        <v>25</v>
      </c>
      <c r="B61" s="13" t="s">
        <v>7</v>
      </c>
      <c r="C61" s="14" t="str">
        <f>Matrix!F10</f>
        <v>Neutral</v>
      </c>
      <c r="D61" s="13">
        <f t="shared" si="1"/>
        <v>0</v>
      </c>
    </row>
    <row r="62" ht="15.75" customHeight="1">
      <c r="A62" s="13" t="s">
        <v>25</v>
      </c>
      <c r="B62" s="13" t="s">
        <v>8</v>
      </c>
      <c r="C62" s="14" t="str">
        <f>Matrix!G10</f>
        <v>Positive</v>
      </c>
      <c r="D62" s="13">
        <f t="shared" si="1"/>
        <v>1</v>
      </c>
    </row>
    <row r="63" ht="15.75" customHeight="1">
      <c r="A63" s="13" t="s">
        <v>25</v>
      </c>
      <c r="B63" s="13" t="s">
        <v>9</v>
      </c>
      <c r="C63" s="14" t="str">
        <f>Matrix!H10</f>
        <v>Neutral</v>
      </c>
      <c r="D63" s="13">
        <f t="shared" si="1"/>
        <v>0</v>
      </c>
    </row>
    <row r="64" ht="15.75" customHeight="1">
      <c r="A64" s="13" t="s">
        <v>25</v>
      </c>
      <c r="B64" s="13" t="s">
        <v>10</v>
      </c>
      <c r="C64" s="14" t="str">
        <f>Matrix!I10</f>
        <v>Negative</v>
      </c>
      <c r="D64" s="13">
        <f t="shared" si="1"/>
        <v>-1</v>
      </c>
    </row>
    <row r="65" ht="15.75" customHeight="1">
      <c r="A65" s="13" t="s">
        <v>25</v>
      </c>
      <c r="B65" s="13" t="s">
        <v>11</v>
      </c>
      <c r="C65" s="14" t="str">
        <f>Matrix!J10</f>
        <v>Neutral</v>
      </c>
      <c r="D65" s="13">
        <f t="shared" si="1"/>
        <v>0</v>
      </c>
    </row>
    <row r="66" ht="15.75" customHeight="1">
      <c r="A66" s="13" t="s">
        <v>25</v>
      </c>
      <c r="B66" s="13" t="s">
        <v>12</v>
      </c>
      <c r="C66" s="14" t="str">
        <f>Matrix!K10</f>
        <v>Negative</v>
      </c>
      <c r="D66" s="13">
        <f t="shared" si="1"/>
        <v>-1</v>
      </c>
    </row>
    <row r="67" ht="15.75" customHeight="1">
      <c r="A67" s="13" t="s">
        <v>25</v>
      </c>
      <c r="B67" s="13" t="s">
        <v>13</v>
      </c>
      <c r="C67" s="14" t="str">
        <f>Matrix!L10</f>
        <v>Negative</v>
      </c>
      <c r="D67" s="13">
        <f t="shared" si="1"/>
        <v>-1</v>
      </c>
    </row>
    <row r="68" ht="15.75" customHeight="1">
      <c r="A68" s="13" t="s">
        <v>26</v>
      </c>
      <c r="B68" s="13" t="s">
        <v>3</v>
      </c>
      <c r="C68" s="14" t="str">
        <f>Matrix!B11</f>
        <v>Positive</v>
      </c>
      <c r="D68" s="13">
        <f t="shared" si="1"/>
        <v>1</v>
      </c>
    </row>
    <row r="69" ht="15.75" customHeight="1">
      <c r="A69" s="13" t="s">
        <v>26</v>
      </c>
      <c r="B69" s="13" t="s">
        <v>4</v>
      </c>
      <c r="C69" s="14" t="str">
        <f>Matrix!C11</f>
        <v>Negative</v>
      </c>
      <c r="D69" s="13">
        <f t="shared" si="1"/>
        <v>-1</v>
      </c>
    </row>
    <row r="70" ht="15.75" customHeight="1">
      <c r="A70" s="13" t="s">
        <v>26</v>
      </c>
      <c r="B70" s="13" t="s">
        <v>5</v>
      </c>
      <c r="C70" s="14" t="str">
        <f>Matrix!D11</f>
        <v>Neutral</v>
      </c>
      <c r="D70" s="13">
        <f t="shared" si="1"/>
        <v>0</v>
      </c>
    </row>
    <row r="71" ht="15.75" customHeight="1">
      <c r="A71" s="13" t="s">
        <v>26</v>
      </c>
      <c r="B71" s="13" t="s">
        <v>6</v>
      </c>
      <c r="C71" s="14" t="str">
        <f>Matrix!E11</f>
        <v>Positive</v>
      </c>
      <c r="D71" s="13">
        <f t="shared" si="1"/>
        <v>1</v>
      </c>
    </row>
    <row r="72" ht="15.75" customHeight="1">
      <c r="A72" s="13" t="s">
        <v>26</v>
      </c>
      <c r="B72" s="13" t="s">
        <v>7</v>
      </c>
      <c r="C72" s="14" t="str">
        <f>Matrix!F11</f>
        <v>Positive</v>
      </c>
      <c r="D72" s="13">
        <f t="shared" si="1"/>
        <v>1</v>
      </c>
    </row>
    <row r="73" ht="15.75" customHeight="1">
      <c r="A73" s="13" t="s">
        <v>26</v>
      </c>
      <c r="B73" s="13" t="s">
        <v>8</v>
      </c>
      <c r="C73" s="14" t="str">
        <f>Matrix!G11</f>
        <v>Neutral</v>
      </c>
      <c r="D73" s="13">
        <f t="shared" si="1"/>
        <v>0</v>
      </c>
    </row>
    <row r="74" ht="15.75" customHeight="1">
      <c r="A74" s="13" t="s">
        <v>26</v>
      </c>
      <c r="B74" s="13" t="s">
        <v>9</v>
      </c>
      <c r="C74" s="14" t="str">
        <f>Matrix!H11</f>
        <v>Negative</v>
      </c>
      <c r="D74" s="13">
        <f t="shared" si="1"/>
        <v>-1</v>
      </c>
    </row>
    <row r="75" ht="15.75" customHeight="1">
      <c r="A75" s="13" t="s">
        <v>26</v>
      </c>
      <c r="B75" s="13" t="s">
        <v>10</v>
      </c>
      <c r="C75" s="14" t="str">
        <f>Matrix!I11</f>
        <v>Negative</v>
      </c>
      <c r="D75" s="13">
        <f t="shared" si="1"/>
        <v>-1</v>
      </c>
    </row>
    <row r="76" ht="15.75" customHeight="1">
      <c r="A76" s="13" t="s">
        <v>26</v>
      </c>
      <c r="B76" s="13" t="s">
        <v>11</v>
      </c>
      <c r="C76" s="14" t="str">
        <f>Matrix!J11</f>
        <v>Neutral</v>
      </c>
      <c r="D76" s="13">
        <f t="shared" si="1"/>
        <v>0</v>
      </c>
    </row>
    <row r="77" ht="15.75" customHeight="1">
      <c r="A77" s="13" t="s">
        <v>26</v>
      </c>
      <c r="B77" s="13" t="s">
        <v>12</v>
      </c>
      <c r="C77" s="14" t="str">
        <f>Matrix!K11</f>
        <v>Negative</v>
      </c>
      <c r="D77" s="13">
        <f t="shared" si="1"/>
        <v>-1</v>
      </c>
    </row>
    <row r="78" ht="15.75" customHeight="1">
      <c r="A78" s="13" t="s">
        <v>26</v>
      </c>
      <c r="B78" s="13" t="s">
        <v>13</v>
      </c>
      <c r="C78" s="14" t="str">
        <f>Matrix!L11</f>
        <v>Negative</v>
      </c>
      <c r="D78" s="13">
        <f t="shared" si="1"/>
        <v>-1</v>
      </c>
    </row>
    <row r="79" ht="15.75" customHeight="1">
      <c r="A79" s="13" t="s">
        <v>27</v>
      </c>
      <c r="B79" s="13" t="s">
        <v>3</v>
      </c>
      <c r="C79" s="14" t="str">
        <f>Matrix!B12</f>
        <v>Negative</v>
      </c>
      <c r="D79" s="13">
        <f t="shared" si="1"/>
        <v>-1</v>
      </c>
    </row>
    <row r="80" ht="15.75" customHeight="1">
      <c r="A80" s="13" t="s">
        <v>27</v>
      </c>
      <c r="B80" s="13" t="s">
        <v>4</v>
      </c>
      <c r="C80" s="14" t="str">
        <f>Matrix!C12</f>
        <v>Negative</v>
      </c>
      <c r="D80" s="13">
        <f t="shared" si="1"/>
        <v>-1</v>
      </c>
    </row>
    <row r="81" ht="15.75" customHeight="1">
      <c r="A81" s="13" t="s">
        <v>27</v>
      </c>
      <c r="B81" s="13" t="s">
        <v>5</v>
      </c>
      <c r="C81" s="14" t="str">
        <f>Matrix!D12</f>
        <v>Positive</v>
      </c>
      <c r="D81" s="13">
        <f t="shared" si="1"/>
        <v>1</v>
      </c>
    </row>
    <row r="82" ht="15.75" customHeight="1">
      <c r="A82" s="13" t="s">
        <v>27</v>
      </c>
      <c r="B82" s="13" t="s">
        <v>6</v>
      </c>
      <c r="C82" s="14" t="str">
        <f>Matrix!E12</f>
        <v>Neutral</v>
      </c>
      <c r="D82" s="13">
        <f t="shared" si="1"/>
        <v>0</v>
      </c>
    </row>
    <row r="83" ht="15.75" customHeight="1">
      <c r="A83" s="13" t="s">
        <v>27</v>
      </c>
      <c r="B83" s="13" t="s">
        <v>7</v>
      </c>
      <c r="C83" s="14" t="str">
        <f>Matrix!F12</f>
        <v>Positive</v>
      </c>
      <c r="D83" s="13">
        <f t="shared" si="1"/>
        <v>1</v>
      </c>
    </row>
    <row r="84" ht="15.75" customHeight="1">
      <c r="A84" s="13" t="s">
        <v>27</v>
      </c>
      <c r="B84" s="13" t="s">
        <v>8</v>
      </c>
      <c r="C84" s="14" t="str">
        <f>Matrix!G12</f>
        <v>Neutral</v>
      </c>
      <c r="D84" s="13">
        <f t="shared" si="1"/>
        <v>0</v>
      </c>
    </row>
    <row r="85" ht="15.75" customHeight="1">
      <c r="A85" s="13" t="s">
        <v>27</v>
      </c>
      <c r="B85" s="13" t="s">
        <v>9</v>
      </c>
      <c r="C85" s="14" t="str">
        <f>Matrix!H12</f>
        <v>Negative</v>
      </c>
      <c r="D85" s="13">
        <f t="shared" si="1"/>
        <v>-1</v>
      </c>
    </row>
    <row r="86" ht="15.75" customHeight="1">
      <c r="A86" s="13" t="s">
        <v>27</v>
      </c>
      <c r="B86" s="13" t="s">
        <v>10</v>
      </c>
      <c r="C86" s="14" t="str">
        <f>Matrix!I12</f>
        <v>Negative</v>
      </c>
      <c r="D86" s="13">
        <f t="shared" si="1"/>
        <v>-1</v>
      </c>
    </row>
    <row r="87" ht="15.75" customHeight="1">
      <c r="A87" s="13" t="s">
        <v>27</v>
      </c>
      <c r="B87" s="13" t="s">
        <v>11</v>
      </c>
      <c r="C87" s="14" t="str">
        <f>Matrix!J12</f>
        <v>Neutral</v>
      </c>
      <c r="D87" s="13">
        <f t="shared" si="1"/>
        <v>0</v>
      </c>
    </row>
    <row r="88" ht="15.75" customHeight="1">
      <c r="A88" s="13" t="s">
        <v>27</v>
      </c>
      <c r="B88" s="13" t="s">
        <v>12</v>
      </c>
      <c r="C88" s="14" t="str">
        <f>Matrix!K12</f>
        <v>Neutral</v>
      </c>
      <c r="D88" s="13">
        <f t="shared" si="1"/>
        <v>0</v>
      </c>
    </row>
    <row r="89" ht="15.75" customHeight="1">
      <c r="A89" s="13" t="s">
        <v>27</v>
      </c>
      <c r="B89" s="13" t="s">
        <v>13</v>
      </c>
      <c r="C89" s="14" t="str">
        <f>Matrix!L12</f>
        <v>Negative</v>
      </c>
      <c r="D89" s="13">
        <f t="shared" si="1"/>
        <v>-1</v>
      </c>
    </row>
    <row r="90" ht="15.75" customHeight="1">
      <c r="A90" s="13" t="s">
        <v>28</v>
      </c>
      <c r="B90" s="13" t="s">
        <v>3</v>
      </c>
      <c r="C90" s="14" t="str">
        <f>Matrix!B13</f>
        <v>Positive</v>
      </c>
      <c r="D90" s="13">
        <f t="shared" si="1"/>
        <v>1</v>
      </c>
    </row>
    <row r="91" ht="15.75" customHeight="1">
      <c r="A91" s="13" t="s">
        <v>28</v>
      </c>
      <c r="B91" s="13" t="s">
        <v>4</v>
      </c>
      <c r="C91" s="14" t="str">
        <f>Matrix!C13</f>
        <v>Negative</v>
      </c>
      <c r="D91" s="13">
        <f t="shared" si="1"/>
        <v>-1</v>
      </c>
    </row>
    <row r="92" ht="15.75" customHeight="1">
      <c r="A92" s="13" t="s">
        <v>28</v>
      </c>
      <c r="B92" s="13" t="s">
        <v>5</v>
      </c>
      <c r="C92" s="14" t="str">
        <f>Matrix!D13</f>
        <v>Neutral</v>
      </c>
      <c r="D92" s="13">
        <f t="shared" si="1"/>
        <v>0</v>
      </c>
    </row>
    <row r="93" ht="15.75" customHeight="1">
      <c r="A93" s="13" t="s">
        <v>28</v>
      </c>
      <c r="B93" s="13" t="s">
        <v>6</v>
      </c>
      <c r="C93" s="14" t="str">
        <f>Matrix!E13</f>
        <v>Positive</v>
      </c>
      <c r="D93" s="13">
        <f t="shared" si="1"/>
        <v>1</v>
      </c>
    </row>
    <row r="94" ht="15.75" customHeight="1">
      <c r="A94" s="13" t="s">
        <v>28</v>
      </c>
      <c r="B94" s="13" t="s">
        <v>7</v>
      </c>
      <c r="C94" s="14" t="str">
        <f>Matrix!F13</f>
        <v>Neutral</v>
      </c>
      <c r="D94" s="13">
        <f t="shared" si="1"/>
        <v>0</v>
      </c>
    </row>
    <row r="95" ht="15.75" customHeight="1">
      <c r="A95" s="13" t="s">
        <v>28</v>
      </c>
      <c r="B95" s="13" t="s">
        <v>8</v>
      </c>
      <c r="C95" s="14" t="str">
        <f>Matrix!G13</f>
        <v>Negative</v>
      </c>
      <c r="D95" s="13">
        <f t="shared" si="1"/>
        <v>-1</v>
      </c>
    </row>
    <row r="96" ht="15.75" customHeight="1">
      <c r="A96" s="13" t="s">
        <v>28</v>
      </c>
      <c r="B96" s="13" t="s">
        <v>9</v>
      </c>
      <c r="C96" s="14" t="str">
        <f>Matrix!H13</f>
        <v>Neutral</v>
      </c>
      <c r="D96" s="13">
        <f t="shared" si="1"/>
        <v>0</v>
      </c>
    </row>
    <row r="97" ht="15.75" customHeight="1">
      <c r="A97" s="13" t="s">
        <v>28</v>
      </c>
      <c r="B97" s="13" t="s">
        <v>10</v>
      </c>
      <c r="C97" s="14" t="str">
        <f>Matrix!I13</f>
        <v>Negative</v>
      </c>
      <c r="D97" s="13">
        <f t="shared" si="1"/>
        <v>-1</v>
      </c>
    </row>
    <row r="98" ht="15.75" customHeight="1">
      <c r="A98" s="13" t="s">
        <v>28</v>
      </c>
      <c r="B98" s="13" t="s">
        <v>11</v>
      </c>
      <c r="C98" s="14" t="str">
        <f>Matrix!J13</f>
        <v>Neutral</v>
      </c>
      <c r="D98" s="13">
        <f t="shared" si="1"/>
        <v>0</v>
      </c>
    </row>
    <row r="99" ht="15.75" customHeight="1">
      <c r="A99" s="13" t="s">
        <v>28</v>
      </c>
      <c r="B99" s="13" t="s">
        <v>12</v>
      </c>
      <c r="C99" s="14" t="str">
        <f>Matrix!K13</f>
        <v>Negative</v>
      </c>
      <c r="D99" s="13">
        <f t="shared" si="1"/>
        <v>-1</v>
      </c>
    </row>
    <row r="100" ht="15.75" customHeight="1">
      <c r="A100" s="13" t="s">
        <v>28</v>
      </c>
      <c r="B100" s="13" t="s">
        <v>13</v>
      </c>
      <c r="C100" s="14" t="str">
        <f>Matrix!L13</f>
        <v>Negative</v>
      </c>
      <c r="D100" s="13">
        <f t="shared" si="1"/>
        <v>-1</v>
      </c>
    </row>
    <row r="101" ht="15.75" customHeight="1">
      <c r="A101" s="13" t="s">
        <v>29</v>
      </c>
      <c r="B101" s="13" t="s">
        <v>3</v>
      </c>
      <c r="C101" s="14" t="str">
        <f>Matrix!B14</f>
        <v>Neutral</v>
      </c>
      <c r="D101" s="13">
        <f t="shared" si="1"/>
        <v>0</v>
      </c>
    </row>
    <row r="102" ht="15.75" customHeight="1">
      <c r="A102" s="13" t="s">
        <v>29</v>
      </c>
      <c r="B102" s="13" t="s">
        <v>4</v>
      </c>
      <c r="C102" s="14" t="str">
        <f>Matrix!C14</f>
        <v>Negative</v>
      </c>
      <c r="D102" s="13">
        <f t="shared" si="1"/>
        <v>-1</v>
      </c>
    </row>
    <row r="103" ht="15.75" customHeight="1">
      <c r="A103" s="13" t="s">
        <v>29</v>
      </c>
      <c r="B103" s="13" t="s">
        <v>5</v>
      </c>
      <c r="C103" s="14" t="str">
        <f>Matrix!D14</f>
        <v>Positive</v>
      </c>
      <c r="D103" s="13">
        <f t="shared" si="1"/>
        <v>1</v>
      </c>
    </row>
    <row r="104" ht="15.75" customHeight="1">
      <c r="A104" s="13" t="s">
        <v>29</v>
      </c>
      <c r="B104" s="13" t="s">
        <v>6</v>
      </c>
      <c r="C104" s="14" t="str">
        <f>Matrix!E14</f>
        <v>Positive</v>
      </c>
      <c r="D104" s="13">
        <f t="shared" si="1"/>
        <v>1</v>
      </c>
    </row>
    <row r="105" ht="15.75" customHeight="1">
      <c r="A105" s="13" t="s">
        <v>29</v>
      </c>
      <c r="B105" s="13" t="s">
        <v>7</v>
      </c>
      <c r="C105" s="14" t="str">
        <f>Matrix!F14</f>
        <v>Positive</v>
      </c>
      <c r="D105" s="13">
        <f t="shared" si="1"/>
        <v>1</v>
      </c>
    </row>
    <row r="106" ht="15.75" customHeight="1">
      <c r="A106" s="13" t="s">
        <v>29</v>
      </c>
      <c r="B106" s="13" t="s">
        <v>8</v>
      </c>
      <c r="C106" s="14" t="str">
        <f>Matrix!G14</f>
        <v>Positive</v>
      </c>
      <c r="D106" s="13">
        <f t="shared" si="1"/>
        <v>1</v>
      </c>
    </row>
    <row r="107" ht="15.75" customHeight="1">
      <c r="A107" s="13" t="s">
        <v>29</v>
      </c>
      <c r="B107" s="13" t="s">
        <v>9</v>
      </c>
      <c r="C107" s="14" t="str">
        <f>Matrix!H14</f>
        <v>Negative</v>
      </c>
      <c r="D107" s="13">
        <f t="shared" si="1"/>
        <v>-1</v>
      </c>
    </row>
    <row r="108" ht="15.75" customHeight="1">
      <c r="A108" s="13" t="s">
        <v>29</v>
      </c>
      <c r="B108" s="13" t="s">
        <v>10</v>
      </c>
      <c r="C108" s="14" t="str">
        <f>Matrix!I14</f>
        <v>Negative</v>
      </c>
      <c r="D108" s="13">
        <f t="shared" si="1"/>
        <v>-1</v>
      </c>
    </row>
    <row r="109" ht="15.75" customHeight="1">
      <c r="A109" s="13" t="s">
        <v>29</v>
      </c>
      <c r="B109" s="13" t="s">
        <v>11</v>
      </c>
      <c r="C109" s="14" t="str">
        <f>Matrix!J14</f>
        <v>Neutral</v>
      </c>
      <c r="D109" s="13">
        <f t="shared" si="1"/>
        <v>0</v>
      </c>
    </row>
    <row r="110" ht="15.75" customHeight="1">
      <c r="A110" s="13" t="s">
        <v>29</v>
      </c>
      <c r="B110" s="13" t="s">
        <v>12</v>
      </c>
      <c r="C110" s="14" t="str">
        <f>Matrix!K14</f>
        <v>Negative</v>
      </c>
      <c r="D110" s="13">
        <f t="shared" si="1"/>
        <v>-1</v>
      </c>
    </row>
    <row r="111" ht="15.75" customHeight="1">
      <c r="A111" s="13" t="s">
        <v>29</v>
      </c>
      <c r="B111" s="13" t="s">
        <v>13</v>
      </c>
      <c r="C111" s="14" t="str">
        <f>Matrix!L14</f>
        <v>Negative</v>
      </c>
      <c r="D111" s="13">
        <f t="shared" si="1"/>
        <v>-1</v>
      </c>
    </row>
    <row r="112" ht="15.75" customHeight="1">
      <c r="A112" s="13" t="s">
        <v>30</v>
      </c>
      <c r="B112" s="13" t="s">
        <v>3</v>
      </c>
      <c r="C112" s="14" t="str">
        <f>Matrix!B15</f>
        <v>Positive</v>
      </c>
      <c r="D112" s="13">
        <f t="shared" si="1"/>
        <v>1</v>
      </c>
    </row>
    <row r="113" ht="15.75" customHeight="1">
      <c r="A113" s="13" t="s">
        <v>30</v>
      </c>
      <c r="B113" s="13" t="s">
        <v>4</v>
      </c>
      <c r="C113" s="14" t="str">
        <f>Matrix!C15</f>
        <v>Negative</v>
      </c>
      <c r="D113" s="13">
        <f t="shared" si="1"/>
        <v>-1</v>
      </c>
    </row>
    <row r="114" ht="15.75" customHeight="1">
      <c r="A114" s="13" t="s">
        <v>30</v>
      </c>
      <c r="B114" s="13" t="s">
        <v>5</v>
      </c>
      <c r="C114" s="14" t="str">
        <f>Matrix!D15</f>
        <v>Positive</v>
      </c>
      <c r="D114" s="13">
        <f t="shared" si="1"/>
        <v>1</v>
      </c>
    </row>
    <row r="115" ht="15.75" customHeight="1">
      <c r="A115" s="13" t="s">
        <v>30</v>
      </c>
      <c r="B115" s="13" t="s">
        <v>6</v>
      </c>
      <c r="C115" s="14" t="str">
        <f>Matrix!E15</f>
        <v>Positive</v>
      </c>
      <c r="D115" s="13">
        <f t="shared" si="1"/>
        <v>1</v>
      </c>
    </row>
    <row r="116" ht="15.75" customHeight="1">
      <c r="A116" s="13" t="s">
        <v>30</v>
      </c>
      <c r="B116" s="13" t="s">
        <v>7</v>
      </c>
      <c r="C116" s="14" t="str">
        <f>Matrix!F15</f>
        <v>Neutral</v>
      </c>
      <c r="D116" s="13">
        <f t="shared" si="1"/>
        <v>0</v>
      </c>
    </row>
    <row r="117" ht="15.75" customHeight="1">
      <c r="A117" s="13" t="s">
        <v>30</v>
      </c>
      <c r="B117" s="13" t="s">
        <v>8</v>
      </c>
      <c r="C117" s="14" t="str">
        <f>Matrix!G15</f>
        <v>Positive</v>
      </c>
      <c r="D117" s="13">
        <f t="shared" si="1"/>
        <v>1</v>
      </c>
    </row>
    <row r="118" ht="15.75" customHeight="1">
      <c r="A118" s="13" t="s">
        <v>30</v>
      </c>
      <c r="B118" s="13" t="s">
        <v>9</v>
      </c>
      <c r="C118" s="14" t="str">
        <f>Matrix!H15</f>
        <v>Negative</v>
      </c>
      <c r="D118" s="13">
        <f t="shared" si="1"/>
        <v>-1</v>
      </c>
    </row>
    <row r="119" ht="15.75" customHeight="1">
      <c r="A119" s="13" t="s">
        <v>30</v>
      </c>
      <c r="B119" s="13" t="s">
        <v>10</v>
      </c>
      <c r="C119" s="14" t="str">
        <f>Matrix!I15</f>
        <v>Negative</v>
      </c>
      <c r="D119" s="13">
        <f t="shared" si="1"/>
        <v>-1</v>
      </c>
    </row>
    <row r="120" ht="15.75" customHeight="1">
      <c r="A120" s="13" t="s">
        <v>30</v>
      </c>
      <c r="B120" s="13" t="s">
        <v>11</v>
      </c>
      <c r="C120" s="14" t="str">
        <f>Matrix!J15</f>
        <v>Neutral</v>
      </c>
      <c r="D120" s="13">
        <f t="shared" si="1"/>
        <v>0</v>
      </c>
    </row>
    <row r="121" ht="15.75" customHeight="1">
      <c r="A121" s="13" t="s">
        <v>30</v>
      </c>
      <c r="B121" s="13" t="s">
        <v>12</v>
      </c>
      <c r="C121" s="14" t="str">
        <f>Matrix!K15</f>
        <v>Negative</v>
      </c>
      <c r="D121" s="13">
        <f t="shared" si="1"/>
        <v>-1</v>
      </c>
    </row>
    <row r="122" ht="15.75" customHeight="1">
      <c r="A122" s="13" t="s">
        <v>30</v>
      </c>
      <c r="B122" s="13" t="s">
        <v>13</v>
      </c>
      <c r="C122" s="14" t="str">
        <f>Matrix!L15</f>
        <v>Negative</v>
      </c>
      <c r="D122" s="13">
        <f t="shared" si="1"/>
        <v>-1</v>
      </c>
    </row>
    <row r="123" ht="15.75" customHeight="1">
      <c r="A123" s="13" t="s">
        <v>31</v>
      </c>
      <c r="B123" s="13" t="s">
        <v>3</v>
      </c>
      <c r="C123" s="14" t="str">
        <f>Matrix!B16</f>
        <v>Neutral</v>
      </c>
      <c r="D123" s="13">
        <f t="shared" si="1"/>
        <v>0</v>
      </c>
    </row>
    <row r="124" ht="15.75" customHeight="1">
      <c r="A124" s="13" t="s">
        <v>31</v>
      </c>
      <c r="B124" s="13" t="s">
        <v>4</v>
      </c>
      <c r="C124" s="14" t="str">
        <f>Matrix!C16</f>
        <v>Negative</v>
      </c>
      <c r="D124" s="13">
        <f t="shared" si="1"/>
        <v>-1</v>
      </c>
    </row>
    <row r="125" ht="15.75" customHeight="1">
      <c r="A125" s="13" t="s">
        <v>31</v>
      </c>
      <c r="B125" s="13" t="s">
        <v>5</v>
      </c>
      <c r="C125" s="14" t="str">
        <f>Matrix!D16</f>
        <v>Positive</v>
      </c>
      <c r="D125" s="13">
        <f t="shared" si="1"/>
        <v>1</v>
      </c>
    </row>
    <row r="126" ht="15.75" customHeight="1">
      <c r="A126" s="13" t="s">
        <v>31</v>
      </c>
      <c r="B126" s="13" t="s">
        <v>6</v>
      </c>
      <c r="C126" s="14" t="str">
        <f>Matrix!E16</f>
        <v>Neutral</v>
      </c>
      <c r="D126" s="13">
        <f t="shared" si="1"/>
        <v>0</v>
      </c>
    </row>
    <row r="127" ht="15.75" customHeight="1">
      <c r="A127" s="13" t="s">
        <v>31</v>
      </c>
      <c r="B127" s="13" t="s">
        <v>7</v>
      </c>
      <c r="C127" s="14" t="str">
        <f>Matrix!F16</f>
        <v>Positive</v>
      </c>
      <c r="D127" s="13">
        <f t="shared" si="1"/>
        <v>1</v>
      </c>
    </row>
    <row r="128" ht="15.75" customHeight="1">
      <c r="A128" s="13" t="s">
        <v>31</v>
      </c>
      <c r="B128" s="13" t="s">
        <v>8</v>
      </c>
      <c r="C128" s="14" t="str">
        <f>Matrix!G16</f>
        <v>Negative</v>
      </c>
      <c r="D128" s="13">
        <f t="shared" si="1"/>
        <v>-1</v>
      </c>
    </row>
    <row r="129" ht="15.75" customHeight="1">
      <c r="A129" s="13" t="s">
        <v>31</v>
      </c>
      <c r="B129" s="13" t="s">
        <v>9</v>
      </c>
      <c r="C129" s="14" t="str">
        <f>Matrix!H16</f>
        <v>Negative</v>
      </c>
      <c r="D129" s="13">
        <f t="shared" si="1"/>
        <v>-1</v>
      </c>
    </row>
    <row r="130" ht="15.75" customHeight="1">
      <c r="A130" s="13" t="s">
        <v>31</v>
      </c>
      <c r="B130" s="13" t="s">
        <v>10</v>
      </c>
      <c r="C130" s="14" t="str">
        <f>Matrix!I16</f>
        <v>Negative</v>
      </c>
      <c r="D130" s="13">
        <f t="shared" si="1"/>
        <v>-1</v>
      </c>
    </row>
    <row r="131" ht="15.75" customHeight="1">
      <c r="A131" s="13" t="s">
        <v>31</v>
      </c>
      <c r="B131" s="13" t="s">
        <v>11</v>
      </c>
      <c r="C131" s="14" t="str">
        <f>Matrix!J16</f>
        <v>Neutral</v>
      </c>
      <c r="D131" s="13">
        <f t="shared" si="1"/>
        <v>0</v>
      </c>
    </row>
    <row r="132" ht="15.75" customHeight="1">
      <c r="A132" s="13" t="s">
        <v>31</v>
      </c>
      <c r="B132" s="13" t="s">
        <v>12</v>
      </c>
      <c r="C132" s="14" t="str">
        <f>Matrix!K16</f>
        <v>Neutral</v>
      </c>
      <c r="D132" s="13">
        <f t="shared" si="1"/>
        <v>0</v>
      </c>
    </row>
    <row r="133" ht="15.75" customHeight="1">
      <c r="A133" s="13" t="s">
        <v>31</v>
      </c>
      <c r="B133" s="13" t="s">
        <v>13</v>
      </c>
      <c r="C133" s="14" t="str">
        <f>Matrix!L16</f>
        <v>Negative</v>
      </c>
      <c r="D133" s="13">
        <f t="shared" si="1"/>
        <v>-1</v>
      </c>
    </row>
    <row r="134" ht="15.75" customHeight="1">
      <c r="A134" s="13" t="s">
        <v>32</v>
      </c>
      <c r="B134" s="13" t="s">
        <v>3</v>
      </c>
      <c r="C134" s="14" t="str">
        <f>Matrix!B17</f>
        <v>Positive</v>
      </c>
      <c r="D134" s="13">
        <f t="shared" si="1"/>
        <v>1</v>
      </c>
    </row>
    <row r="135" ht="15.75" customHeight="1">
      <c r="A135" s="13" t="s">
        <v>32</v>
      </c>
      <c r="B135" s="13" t="s">
        <v>4</v>
      </c>
      <c r="C135" s="14" t="str">
        <f>Matrix!C17</f>
        <v>Negative</v>
      </c>
      <c r="D135" s="13">
        <f t="shared" si="1"/>
        <v>-1</v>
      </c>
    </row>
    <row r="136" ht="15.75" customHeight="1">
      <c r="A136" s="13" t="s">
        <v>32</v>
      </c>
      <c r="B136" s="13" t="s">
        <v>5</v>
      </c>
      <c r="C136" s="14" t="str">
        <f>Matrix!D17</f>
        <v>Neutral</v>
      </c>
      <c r="D136" s="13">
        <f t="shared" si="1"/>
        <v>0</v>
      </c>
    </row>
    <row r="137" ht="15.75" customHeight="1">
      <c r="A137" s="13" t="s">
        <v>32</v>
      </c>
      <c r="B137" s="13" t="s">
        <v>6</v>
      </c>
      <c r="C137" s="14" t="str">
        <f>Matrix!E17</f>
        <v>Positive</v>
      </c>
      <c r="D137" s="13">
        <f t="shared" si="1"/>
        <v>1</v>
      </c>
    </row>
    <row r="138" ht="15.75" customHeight="1">
      <c r="A138" s="13" t="s">
        <v>32</v>
      </c>
      <c r="B138" s="13" t="s">
        <v>7</v>
      </c>
      <c r="C138" s="14" t="str">
        <f>Matrix!F17</f>
        <v>Neutral</v>
      </c>
      <c r="D138" s="13">
        <f t="shared" si="1"/>
        <v>0</v>
      </c>
    </row>
    <row r="139" ht="15.75" customHeight="1">
      <c r="A139" s="13" t="s">
        <v>32</v>
      </c>
      <c r="B139" s="13" t="s">
        <v>8</v>
      </c>
      <c r="C139" s="14" t="str">
        <f>Matrix!G17</f>
        <v>Neutral</v>
      </c>
      <c r="D139" s="13">
        <f t="shared" si="1"/>
        <v>0</v>
      </c>
    </row>
    <row r="140" ht="15.75" customHeight="1">
      <c r="A140" s="13" t="s">
        <v>32</v>
      </c>
      <c r="B140" s="13" t="s">
        <v>9</v>
      </c>
      <c r="C140" s="14" t="str">
        <f>Matrix!H17</f>
        <v>Neutral</v>
      </c>
      <c r="D140" s="13">
        <f t="shared" si="1"/>
        <v>0</v>
      </c>
    </row>
    <row r="141" ht="15.75" customHeight="1">
      <c r="A141" s="13" t="s">
        <v>32</v>
      </c>
      <c r="B141" s="13" t="s">
        <v>10</v>
      </c>
      <c r="C141" s="14" t="str">
        <f>Matrix!I17</f>
        <v>Negative</v>
      </c>
      <c r="D141" s="13">
        <f t="shared" si="1"/>
        <v>-1</v>
      </c>
    </row>
    <row r="142" ht="15.75" customHeight="1">
      <c r="A142" s="13" t="s">
        <v>32</v>
      </c>
      <c r="B142" s="13" t="s">
        <v>11</v>
      </c>
      <c r="C142" s="14" t="str">
        <f>Matrix!J17</f>
        <v>Neutral</v>
      </c>
      <c r="D142" s="13">
        <f t="shared" si="1"/>
        <v>0</v>
      </c>
    </row>
    <row r="143" ht="15.75" customHeight="1">
      <c r="A143" s="13" t="s">
        <v>32</v>
      </c>
      <c r="B143" s="13" t="s">
        <v>12</v>
      </c>
      <c r="C143" s="14" t="str">
        <f>Matrix!K17</f>
        <v>Negative</v>
      </c>
      <c r="D143" s="13">
        <f t="shared" si="1"/>
        <v>-1</v>
      </c>
    </row>
    <row r="144" ht="15.75" customHeight="1">
      <c r="A144" s="13" t="s">
        <v>32</v>
      </c>
      <c r="B144" s="13" t="s">
        <v>13</v>
      </c>
      <c r="C144" s="14" t="str">
        <f>Matrix!L17</f>
        <v>Negative</v>
      </c>
      <c r="D144" s="13">
        <f t="shared" si="1"/>
        <v>-1</v>
      </c>
    </row>
    <row r="145" ht="15.75" customHeight="1">
      <c r="A145" s="13" t="s">
        <v>33</v>
      </c>
      <c r="B145" s="13" t="s">
        <v>3</v>
      </c>
      <c r="C145" s="14" t="str">
        <f>Matrix!B18</f>
        <v>Negative</v>
      </c>
      <c r="D145" s="13">
        <f t="shared" si="1"/>
        <v>-1</v>
      </c>
    </row>
    <row r="146" ht="15.75" customHeight="1">
      <c r="A146" s="13" t="s">
        <v>33</v>
      </c>
      <c r="B146" s="13" t="s">
        <v>4</v>
      </c>
      <c r="C146" s="14" t="str">
        <f>Matrix!C18</f>
        <v>Negative</v>
      </c>
      <c r="D146" s="13">
        <f t="shared" si="1"/>
        <v>-1</v>
      </c>
    </row>
    <row r="147" ht="15.75" customHeight="1">
      <c r="A147" s="13" t="s">
        <v>33</v>
      </c>
      <c r="B147" s="13" t="s">
        <v>5</v>
      </c>
      <c r="C147" s="14" t="str">
        <f>Matrix!D18</f>
        <v>Positive</v>
      </c>
      <c r="D147" s="13">
        <f t="shared" si="1"/>
        <v>1</v>
      </c>
    </row>
    <row r="148" ht="15.75" customHeight="1">
      <c r="A148" s="13" t="s">
        <v>33</v>
      </c>
      <c r="B148" s="13" t="s">
        <v>6</v>
      </c>
      <c r="C148" s="14" t="str">
        <f>Matrix!E18</f>
        <v>Neutral</v>
      </c>
      <c r="D148" s="13">
        <f t="shared" si="1"/>
        <v>0</v>
      </c>
    </row>
    <row r="149" ht="15.75" customHeight="1">
      <c r="A149" s="13" t="s">
        <v>33</v>
      </c>
      <c r="B149" s="13" t="s">
        <v>7</v>
      </c>
      <c r="C149" s="14" t="str">
        <f>Matrix!F18</f>
        <v>Positive</v>
      </c>
      <c r="D149" s="13">
        <f t="shared" si="1"/>
        <v>1</v>
      </c>
    </row>
    <row r="150" ht="15.75" customHeight="1">
      <c r="A150" s="13" t="s">
        <v>33</v>
      </c>
      <c r="B150" s="13" t="s">
        <v>8</v>
      </c>
      <c r="C150" s="14" t="str">
        <f>Matrix!G18</f>
        <v>Neutral</v>
      </c>
      <c r="D150" s="13">
        <f t="shared" si="1"/>
        <v>0</v>
      </c>
    </row>
    <row r="151" ht="15.75" customHeight="1">
      <c r="A151" s="13" t="s">
        <v>33</v>
      </c>
      <c r="B151" s="13" t="s">
        <v>9</v>
      </c>
      <c r="C151" s="14" t="str">
        <f>Matrix!H18</f>
        <v>Negative</v>
      </c>
      <c r="D151" s="13">
        <f t="shared" si="1"/>
        <v>-1</v>
      </c>
    </row>
    <row r="152" ht="15.75" customHeight="1">
      <c r="A152" s="13" t="s">
        <v>33</v>
      </c>
      <c r="B152" s="13" t="s">
        <v>10</v>
      </c>
      <c r="C152" s="14" t="str">
        <f>Matrix!I18</f>
        <v>Negative</v>
      </c>
      <c r="D152" s="13">
        <f t="shared" si="1"/>
        <v>-1</v>
      </c>
    </row>
    <row r="153" ht="15.75" customHeight="1">
      <c r="A153" s="13" t="s">
        <v>33</v>
      </c>
      <c r="B153" s="13" t="s">
        <v>11</v>
      </c>
      <c r="C153" s="14" t="str">
        <f>Matrix!J18</f>
        <v>Neutral</v>
      </c>
      <c r="D153" s="13">
        <f t="shared" si="1"/>
        <v>0</v>
      </c>
    </row>
    <row r="154" ht="15.75" customHeight="1">
      <c r="A154" s="13" t="s">
        <v>33</v>
      </c>
      <c r="B154" s="13" t="s">
        <v>12</v>
      </c>
      <c r="C154" s="14" t="str">
        <f>Matrix!K18</f>
        <v>Neutral</v>
      </c>
      <c r="D154" s="13">
        <f t="shared" si="1"/>
        <v>0</v>
      </c>
    </row>
    <row r="155" ht="15.75" customHeight="1">
      <c r="A155" s="13" t="s">
        <v>33</v>
      </c>
      <c r="B155" s="13" t="s">
        <v>13</v>
      </c>
      <c r="C155" s="14" t="str">
        <f>Matrix!L18</f>
        <v>Negative</v>
      </c>
      <c r="D155" s="13">
        <f t="shared" si="1"/>
        <v>-1</v>
      </c>
    </row>
    <row r="156" ht="15.75" customHeight="1">
      <c r="A156" s="13" t="s">
        <v>34</v>
      </c>
      <c r="B156" s="13" t="s">
        <v>3</v>
      </c>
      <c r="C156" s="14" t="str">
        <f>Matrix!B19</f>
        <v>Positive</v>
      </c>
      <c r="D156" s="13">
        <f t="shared" si="1"/>
        <v>1</v>
      </c>
    </row>
    <row r="157" ht="15.75" customHeight="1">
      <c r="A157" s="13" t="s">
        <v>34</v>
      </c>
      <c r="B157" s="13" t="s">
        <v>4</v>
      </c>
      <c r="C157" s="14" t="str">
        <f>Matrix!C19</f>
        <v>Negative</v>
      </c>
      <c r="D157" s="13">
        <f t="shared" si="1"/>
        <v>-1</v>
      </c>
    </row>
    <row r="158" ht="15.75" customHeight="1">
      <c r="A158" s="13" t="s">
        <v>34</v>
      </c>
      <c r="B158" s="13" t="s">
        <v>5</v>
      </c>
      <c r="C158" s="14" t="str">
        <f>Matrix!D19</f>
        <v>Neutral</v>
      </c>
      <c r="D158" s="13">
        <f t="shared" si="1"/>
        <v>0</v>
      </c>
    </row>
    <row r="159" ht="15.75" customHeight="1">
      <c r="A159" s="13" t="s">
        <v>34</v>
      </c>
      <c r="B159" s="13" t="s">
        <v>6</v>
      </c>
      <c r="C159" s="14" t="str">
        <f>Matrix!E19</f>
        <v>Positive</v>
      </c>
      <c r="D159" s="13">
        <f t="shared" si="1"/>
        <v>1</v>
      </c>
    </row>
    <row r="160" ht="15.75" customHeight="1">
      <c r="A160" s="13" t="s">
        <v>34</v>
      </c>
      <c r="B160" s="13" t="s">
        <v>7</v>
      </c>
      <c r="C160" s="14" t="str">
        <f>Matrix!F19</f>
        <v>Neutral</v>
      </c>
      <c r="D160" s="13">
        <f t="shared" si="1"/>
        <v>0</v>
      </c>
    </row>
    <row r="161" ht="15.75" customHeight="1">
      <c r="A161" s="13" t="s">
        <v>34</v>
      </c>
      <c r="B161" s="13" t="s">
        <v>8</v>
      </c>
      <c r="C161" s="14" t="str">
        <f>Matrix!G19</f>
        <v>Positive</v>
      </c>
      <c r="D161" s="13">
        <f t="shared" si="1"/>
        <v>1</v>
      </c>
    </row>
    <row r="162" ht="15.75" customHeight="1">
      <c r="A162" s="13" t="s">
        <v>34</v>
      </c>
      <c r="B162" s="13" t="s">
        <v>9</v>
      </c>
      <c r="C162" s="14" t="str">
        <f>Matrix!H19</f>
        <v>Neutral</v>
      </c>
      <c r="D162" s="13">
        <f t="shared" si="1"/>
        <v>0</v>
      </c>
    </row>
    <row r="163" ht="15.75" customHeight="1">
      <c r="A163" s="13" t="s">
        <v>34</v>
      </c>
      <c r="B163" s="13" t="s">
        <v>10</v>
      </c>
      <c r="C163" s="14" t="str">
        <f>Matrix!I19</f>
        <v>Negative</v>
      </c>
      <c r="D163" s="13">
        <f t="shared" si="1"/>
        <v>-1</v>
      </c>
    </row>
    <row r="164" ht="15.75" customHeight="1">
      <c r="A164" s="13" t="s">
        <v>34</v>
      </c>
      <c r="B164" s="13" t="s">
        <v>11</v>
      </c>
      <c r="C164" s="14" t="str">
        <f>Matrix!J19</f>
        <v>Neutral</v>
      </c>
      <c r="D164" s="13">
        <f t="shared" si="1"/>
        <v>0</v>
      </c>
    </row>
    <row r="165" ht="15.75" customHeight="1">
      <c r="A165" s="13" t="s">
        <v>34</v>
      </c>
      <c r="B165" s="13" t="s">
        <v>12</v>
      </c>
      <c r="C165" s="14" t="str">
        <f>Matrix!K19</f>
        <v>Negative</v>
      </c>
      <c r="D165" s="13">
        <f t="shared" si="1"/>
        <v>-1</v>
      </c>
    </row>
    <row r="166" ht="15.75" customHeight="1">
      <c r="A166" s="13" t="s">
        <v>34</v>
      </c>
      <c r="B166" s="13" t="s">
        <v>13</v>
      </c>
      <c r="C166" s="14" t="str">
        <f>Matrix!L19</f>
        <v>Neutral</v>
      </c>
      <c r="D166" s="13">
        <f t="shared" si="1"/>
        <v>0</v>
      </c>
    </row>
    <row r="167" ht="15.75" customHeight="1">
      <c r="A167" s="13" t="s">
        <v>35</v>
      </c>
      <c r="B167" s="13" t="s">
        <v>3</v>
      </c>
      <c r="C167" s="14" t="str">
        <f>Matrix!B20</f>
        <v>Positive</v>
      </c>
      <c r="D167" s="13">
        <f t="shared" si="1"/>
        <v>1</v>
      </c>
    </row>
    <row r="168" ht="15.75" customHeight="1">
      <c r="A168" s="13" t="s">
        <v>35</v>
      </c>
      <c r="B168" s="13" t="s">
        <v>4</v>
      </c>
      <c r="C168" s="14" t="str">
        <f>Matrix!C20</f>
        <v>Negative</v>
      </c>
      <c r="D168" s="13">
        <f t="shared" si="1"/>
        <v>-1</v>
      </c>
    </row>
    <row r="169" ht="15.75" customHeight="1">
      <c r="A169" s="13" t="s">
        <v>35</v>
      </c>
      <c r="B169" s="13" t="s">
        <v>5</v>
      </c>
      <c r="C169" s="14" t="str">
        <f>Matrix!D20</f>
        <v>Neutral</v>
      </c>
      <c r="D169" s="13">
        <f t="shared" si="1"/>
        <v>0</v>
      </c>
    </row>
    <row r="170" ht="15.75" customHeight="1">
      <c r="A170" s="13" t="s">
        <v>35</v>
      </c>
      <c r="B170" s="13" t="s">
        <v>6</v>
      </c>
      <c r="C170" s="14" t="str">
        <f>Matrix!E20</f>
        <v>Positive</v>
      </c>
      <c r="D170" s="13">
        <f t="shared" si="1"/>
        <v>1</v>
      </c>
    </row>
    <row r="171" ht="15.75" customHeight="1">
      <c r="A171" s="13" t="s">
        <v>35</v>
      </c>
      <c r="B171" s="13" t="s">
        <v>7</v>
      </c>
      <c r="C171" s="14" t="str">
        <f>Matrix!F20</f>
        <v>Neutral</v>
      </c>
      <c r="D171" s="13">
        <f t="shared" si="1"/>
        <v>0</v>
      </c>
    </row>
    <row r="172" ht="15.75" customHeight="1">
      <c r="A172" s="13" t="s">
        <v>35</v>
      </c>
      <c r="B172" s="13" t="s">
        <v>8</v>
      </c>
      <c r="C172" s="14" t="str">
        <f>Matrix!G20</f>
        <v>Positive</v>
      </c>
      <c r="D172" s="13">
        <f t="shared" si="1"/>
        <v>1</v>
      </c>
    </row>
    <row r="173" ht="15.75" customHeight="1">
      <c r="A173" s="13" t="s">
        <v>35</v>
      </c>
      <c r="B173" s="13" t="s">
        <v>9</v>
      </c>
      <c r="C173" s="14" t="str">
        <f>Matrix!H20</f>
        <v>Negative</v>
      </c>
      <c r="D173" s="13">
        <f t="shared" si="1"/>
        <v>-1</v>
      </c>
    </row>
    <row r="174" ht="15.75" customHeight="1">
      <c r="A174" s="13" t="s">
        <v>35</v>
      </c>
      <c r="B174" s="13" t="s">
        <v>10</v>
      </c>
      <c r="C174" s="14" t="str">
        <f>Matrix!I20</f>
        <v>Negative</v>
      </c>
      <c r="D174" s="13">
        <f t="shared" si="1"/>
        <v>-1</v>
      </c>
    </row>
    <row r="175" ht="15.75" customHeight="1">
      <c r="A175" s="13" t="s">
        <v>35</v>
      </c>
      <c r="B175" s="13" t="s">
        <v>11</v>
      </c>
      <c r="C175" s="14" t="str">
        <f>Matrix!J20</f>
        <v>Neutral</v>
      </c>
      <c r="D175" s="13">
        <f t="shared" si="1"/>
        <v>0</v>
      </c>
    </row>
    <row r="176" ht="15.75" customHeight="1">
      <c r="A176" s="13" t="s">
        <v>35</v>
      </c>
      <c r="B176" s="13" t="s">
        <v>12</v>
      </c>
      <c r="C176" s="14" t="str">
        <f>Matrix!K20</f>
        <v>Negative</v>
      </c>
      <c r="D176" s="13">
        <f t="shared" si="1"/>
        <v>-1</v>
      </c>
    </row>
    <row r="177" ht="15.75" customHeight="1">
      <c r="A177" s="13" t="s">
        <v>35</v>
      </c>
      <c r="B177" s="13" t="s">
        <v>13</v>
      </c>
      <c r="C177" s="14" t="str">
        <f>Matrix!L20</f>
        <v>Negative</v>
      </c>
      <c r="D177" s="13">
        <f t="shared" si="1"/>
        <v>-1</v>
      </c>
    </row>
    <row r="178" ht="15.75" customHeight="1">
      <c r="A178" s="13" t="s">
        <v>36</v>
      </c>
      <c r="B178" s="13" t="s">
        <v>3</v>
      </c>
      <c r="C178" s="14" t="str">
        <f>Matrix!B21</f>
        <v>Neutral</v>
      </c>
      <c r="D178" s="13">
        <f t="shared" si="1"/>
        <v>0</v>
      </c>
    </row>
    <row r="179" ht="15.75" customHeight="1">
      <c r="A179" s="13" t="s">
        <v>36</v>
      </c>
      <c r="B179" s="13" t="s">
        <v>4</v>
      </c>
      <c r="C179" s="14" t="str">
        <f>Matrix!C21</f>
        <v>Negative</v>
      </c>
      <c r="D179" s="13">
        <f t="shared" si="1"/>
        <v>-1</v>
      </c>
    </row>
    <row r="180" ht="15.75" customHeight="1">
      <c r="A180" s="13" t="s">
        <v>36</v>
      </c>
      <c r="B180" s="13" t="s">
        <v>5</v>
      </c>
      <c r="C180" s="14" t="str">
        <f>Matrix!D21</f>
        <v>Positive</v>
      </c>
      <c r="D180" s="13">
        <f t="shared" si="1"/>
        <v>1</v>
      </c>
    </row>
    <row r="181" ht="15.75" customHeight="1">
      <c r="A181" s="13" t="s">
        <v>36</v>
      </c>
      <c r="B181" s="13" t="s">
        <v>6</v>
      </c>
      <c r="C181" s="14" t="str">
        <f>Matrix!E21</f>
        <v>Positive</v>
      </c>
      <c r="D181" s="13">
        <f t="shared" si="1"/>
        <v>1</v>
      </c>
    </row>
    <row r="182" ht="15.75" customHeight="1">
      <c r="A182" s="13" t="s">
        <v>36</v>
      </c>
      <c r="B182" s="13" t="s">
        <v>7</v>
      </c>
      <c r="C182" s="14" t="str">
        <f>Matrix!F21</f>
        <v>Positive</v>
      </c>
      <c r="D182" s="13">
        <f t="shared" si="1"/>
        <v>1</v>
      </c>
    </row>
    <row r="183" ht="15.75" customHeight="1">
      <c r="A183" s="13" t="s">
        <v>36</v>
      </c>
      <c r="B183" s="13" t="s">
        <v>8</v>
      </c>
      <c r="C183" s="14" t="str">
        <f>Matrix!G21</f>
        <v>Negative</v>
      </c>
      <c r="D183" s="13">
        <f t="shared" si="1"/>
        <v>-1</v>
      </c>
    </row>
    <row r="184" ht="15.75" customHeight="1">
      <c r="A184" s="13" t="s">
        <v>36</v>
      </c>
      <c r="B184" s="13" t="s">
        <v>9</v>
      </c>
      <c r="C184" s="14" t="str">
        <f>Matrix!H21</f>
        <v>Negative</v>
      </c>
      <c r="D184" s="13">
        <f t="shared" si="1"/>
        <v>-1</v>
      </c>
    </row>
    <row r="185" ht="15.75" customHeight="1">
      <c r="A185" s="13" t="s">
        <v>36</v>
      </c>
      <c r="B185" s="13" t="s">
        <v>10</v>
      </c>
      <c r="C185" s="14" t="str">
        <f>Matrix!I21</f>
        <v>Negative</v>
      </c>
      <c r="D185" s="13">
        <f t="shared" si="1"/>
        <v>-1</v>
      </c>
    </row>
    <row r="186" ht="15.75" customHeight="1">
      <c r="A186" s="13" t="s">
        <v>36</v>
      </c>
      <c r="B186" s="13" t="s">
        <v>11</v>
      </c>
      <c r="C186" s="14" t="str">
        <f>Matrix!J21</f>
        <v>Neutral</v>
      </c>
      <c r="D186" s="13">
        <f t="shared" si="1"/>
        <v>0</v>
      </c>
    </row>
    <row r="187" ht="15.75" customHeight="1">
      <c r="A187" s="13" t="s">
        <v>36</v>
      </c>
      <c r="B187" s="13" t="s">
        <v>12</v>
      </c>
      <c r="C187" s="14" t="str">
        <f>Matrix!K21</f>
        <v>Negative</v>
      </c>
      <c r="D187" s="13">
        <f t="shared" si="1"/>
        <v>-1</v>
      </c>
    </row>
    <row r="188" ht="15.75" customHeight="1">
      <c r="A188" s="13" t="s">
        <v>36</v>
      </c>
      <c r="B188" s="13" t="s">
        <v>13</v>
      </c>
      <c r="C188" s="14" t="str">
        <f>Matrix!L21</f>
        <v>Negative</v>
      </c>
      <c r="D188" s="13">
        <f t="shared" si="1"/>
        <v>-1</v>
      </c>
    </row>
    <row r="189" ht="15.75" customHeight="1">
      <c r="A189" s="13" t="s">
        <v>37</v>
      </c>
      <c r="B189" s="13" t="s">
        <v>3</v>
      </c>
      <c r="C189" s="14" t="str">
        <f>Matrix!B22</f>
        <v>Positive</v>
      </c>
      <c r="D189" s="13">
        <f t="shared" si="1"/>
        <v>1</v>
      </c>
    </row>
    <row r="190" ht="15.75" customHeight="1">
      <c r="A190" s="13" t="s">
        <v>37</v>
      </c>
      <c r="B190" s="13" t="s">
        <v>4</v>
      </c>
      <c r="C190" s="14" t="str">
        <f>Matrix!C22</f>
        <v>Negative</v>
      </c>
      <c r="D190" s="13">
        <f t="shared" si="1"/>
        <v>-1</v>
      </c>
    </row>
    <row r="191" ht="15.75" customHeight="1">
      <c r="A191" s="13" t="s">
        <v>37</v>
      </c>
      <c r="B191" s="13" t="s">
        <v>5</v>
      </c>
      <c r="C191" s="14" t="str">
        <f>Matrix!D22</f>
        <v>Neutral</v>
      </c>
      <c r="D191" s="13">
        <f t="shared" si="1"/>
        <v>0</v>
      </c>
    </row>
    <row r="192" ht="15.75" customHeight="1">
      <c r="A192" s="13" t="s">
        <v>37</v>
      </c>
      <c r="B192" s="13" t="s">
        <v>6</v>
      </c>
      <c r="C192" s="14" t="str">
        <f>Matrix!E22</f>
        <v>Positive</v>
      </c>
      <c r="D192" s="13">
        <f t="shared" si="1"/>
        <v>1</v>
      </c>
    </row>
    <row r="193" ht="15.75" customHeight="1">
      <c r="A193" s="13" t="s">
        <v>37</v>
      </c>
      <c r="B193" s="13" t="s">
        <v>7</v>
      </c>
      <c r="C193" s="14" t="str">
        <f>Matrix!F22</f>
        <v>Neutral</v>
      </c>
      <c r="D193" s="13">
        <f t="shared" si="1"/>
        <v>0</v>
      </c>
    </row>
    <row r="194" ht="15.75" customHeight="1">
      <c r="A194" s="13" t="s">
        <v>37</v>
      </c>
      <c r="B194" s="13" t="s">
        <v>8</v>
      </c>
      <c r="C194" s="14" t="str">
        <f>Matrix!G22</f>
        <v>Negative</v>
      </c>
      <c r="D194" s="13">
        <f t="shared" si="1"/>
        <v>-1</v>
      </c>
    </row>
    <row r="195" ht="15.75" customHeight="1">
      <c r="A195" s="13" t="s">
        <v>37</v>
      </c>
      <c r="B195" s="13" t="s">
        <v>9</v>
      </c>
      <c r="C195" s="14" t="str">
        <f>Matrix!H22</f>
        <v>Negative</v>
      </c>
      <c r="D195" s="13">
        <f t="shared" si="1"/>
        <v>-1</v>
      </c>
    </row>
    <row r="196" ht="15.75" customHeight="1">
      <c r="A196" s="13" t="s">
        <v>37</v>
      </c>
      <c r="B196" s="13" t="s">
        <v>10</v>
      </c>
      <c r="C196" s="14" t="str">
        <f>Matrix!I22</f>
        <v>Negative</v>
      </c>
      <c r="D196" s="13">
        <f t="shared" si="1"/>
        <v>-1</v>
      </c>
    </row>
    <row r="197" ht="15.75" customHeight="1">
      <c r="A197" s="13" t="s">
        <v>37</v>
      </c>
      <c r="B197" s="13" t="s">
        <v>11</v>
      </c>
      <c r="C197" s="14" t="str">
        <f>Matrix!J22</f>
        <v>Neutral</v>
      </c>
      <c r="D197" s="13">
        <f t="shared" si="1"/>
        <v>0</v>
      </c>
    </row>
    <row r="198" ht="15.75" customHeight="1">
      <c r="A198" s="13" t="s">
        <v>37</v>
      </c>
      <c r="B198" s="13" t="s">
        <v>12</v>
      </c>
      <c r="C198" s="14" t="str">
        <f>Matrix!K22</f>
        <v>Negative</v>
      </c>
      <c r="D198" s="13">
        <f t="shared" si="1"/>
        <v>-1</v>
      </c>
    </row>
    <row r="199" ht="15.75" customHeight="1">
      <c r="A199" s="13" t="s">
        <v>37</v>
      </c>
      <c r="B199" s="13" t="s">
        <v>13</v>
      </c>
      <c r="C199" s="14" t="str">
        <f>Matrix!L22</f>
        <v>Negative</v>
      </c>
      <c r="D199" s="13">
        <f t="shared" si="1"/>
        <v>-1</v>
      </c>
    </row>
    <row r="200" ht="15.75" customHeight="1">
      <c r="A200" s="13" t="s">
        <v>38</v>
      </c>
      <c r="B200" s="13" t="s">
        <v>3</v>
      </c>
      <c r="C200" s="14" t="str">
        <f>Matrix!B23</f>
        <v>Positive</v>
      </c>
      <c r="D200" s="13">
        <f t="shared" si="1"/>
        <v>1</v>
      </c>
    </row>
    <row r="201" ht="15.75" customHeight="1">
      <c r="A201" s="13" t="s">
        <v>38</v>
      </c>
      <c r="B201" s="13" t="s">
        <v>4</v>
      </c>
      <c r="C201" s="14" t="str">
        <f>Matrix!C23</f>
        <v>Negative</v>
      </c>
      <c r="D201" s="13">
        <f t="shared" si="1"/>
        <v>-1</v>
      </c>
    </row>
    <row r="202" ht="15.75" customHeight="1">
      <c r="A202" s="13" t="s">
        <v>38</v>
      </c>
      <c r="B202" s="13" t="s">
        <v>5</v>
      </c>
      <c r="C202" s="14" t="str">
        <f>Matrix!D23</f>
        <v>Positive</v>
      </c>
      <c r="D202" s="13">
        <f t="shared" si="1"/>
        <v>1</v>
      </c>
    </row>
    <row r="203" ht="15.75" customHeight="1">
      <c r="A203" s="13" t="s">
        <v>38</v>
      </c>
      <c r="B203" s="13" t="s">
        <v>6</v>
      </c>
      <c r="C203" s="14" t="str">
        <f>Matrix!E23</f>
        <v>Neutral</v>
      </c>
      <c r="D203" s="13">
        <f t="shared" si="1"/>
        <v>0</v>
      </c>
    </row>
    <row r="204" ht="15.75" customHeight="1">
      <c r="A204" s="13" t="s">
        <v>38</v>
      </c>
      <c r="B204" s="13" t="s">
        <v>7</v>
      </c>
      <c r="C204" s="14" t="str">
        <f>Matrix!F23</f>
        <v>Neutral</v>
      </c>
      <c r="D204" s="13">
        <f t="shared" si="1"/>
        <v>0</v>
      </c>
    </row>
    <row r="205" ht="15.75" customHeight="1">
      <c r="A205" s="13" t="s">
        <v>38</v>
      </c>
      <c r="B205" s="13" t="s">
        <v>8</v>
      </c>
      <c r="C205" s="14" t="str">
        <f>Matrix!G23</f>
        <v>Neutral</v>
      </c>
      <c r="D205" s="13">
        <f t="shared" si="1"/>
        <v>0</v>
      </c>
    </row>
    <row r="206" ht="15.75" customHeight="1">
      <c r="A206" s="13" t="s">
        <v>38</v>
      </c>
      <c r="B206" s="13" t="s">
        <v>9</v>
      </c>
      <c r="C206" s="14" t="str">
        <f>Matrix!H23</f>
        <v>Negative</v>
      </c>
      <c r="D206" s="13">
        <f t="shared" si="1"/>
        <v>-1</v>
      </c>
    </row>
    <row r="207" ht="15.75" customHeight="1">
      <c r="A207" s="13" t="s">
        <v>38</v>
      </c>
      <c r="B207" s="13" t="s">
        <v>10</v>
      </c>
      <c r="C207" s="14" t="str">
        <f>Matrix!I23</f>
        <v>Negative</v>
      </c>
      <c r="D207" s="13">
        <f t="shared" si="1"/>
        <v>-1</v>
      </c>
    </row>
    <row r="208" ht="15.75" customHeight="1">
      <c r="A208" s="13" t="s">
        <v>38</v>
      </c>
      <c r="B208" s="13" t="s">
        <v>11</v>
      </c>
      <c r="C208" s="14" t="str">
        <f>Matrix!J23</f>
        <v>Neutral</v>
      </c>
      <c r="D208" s="13">
        <f t="shared" si="1"/>
        <v>0</v>
      </c>
    </row>
    <row r="209" ht="15.75" customHeight="1">
      <c r="A209" s="13" t="s">
        <v>38</v>
      </c>
      <c r="B209" s="13" t="s">
        <v>12</v>
      </c>
      <c r="C209" s="14" t="str">
        <f>Matrix!K23</f>
        <v>Negative</v>
      </c>
      <c r="D209" s="13">
        <f t="shared" si="1"/>
        <v>-1</v>
      </c>
    </row>
    <row r="210" ht="15.75" customHeight="1">
      <c r="A210" s="13" t="s">
        <v>38</v>
      </c>
      <c r="B210" s="13" t="s">
        <v>13</v>
      </c>
      <c r="C210" s="14" t="str">
        <f>Matrix!L23</f>
        <v>Negative</v>
      </c>
      <c r="D210" s="13">
        <f t="shared" si="1"/>
        <v>-1</v>
      </c>
    </row>
    <row r="211" ht="15.75" customHeight="1">
      <c r="A211" s="13" t="s">
        <v>39</v>
      </c>
      <c r="B211" s="13" t="s">
        <v>3</v>
      </c>
      <c r="C211" s="14" t="str">
        <f>Matrix!B24</f>
        <v>Positive</v>
      </c>
      <c r="D211" s="13">
        <f t="shared" si="1"/>
        <v>1</v>
      </c>
    </row>
    <row r="212" ht="15.75" customHeight="1">
      <c r="A212" s="13" t="s">
        <v>39</v>
      </c>
      <c r="B212" s="13" t="s">
        <v>4</v>
      </c>
      <c r="C212" s="14" t="str">
        <f>Matrix!C24</f>
        <v>Negative</v>
      </c>
      <c r="D212" s="13">
        <f t="shared" si="1"/>
        <v>-1</v>
      </c>
    </row>
    <row r="213" ht="15.75" customHeight="1">
      <c r="A213" s="13" t="s">
        <v>39</v>
      </c>
      <c r="B213" s="13" t="s">
        <v>5</v>
      </c>
      <c r="C213" s="14" t="str">
        <f>Matrix!D24</f>
        <v>Positive</v>
      </c>
      <c r="D213" s="13">
        <f t="shared" si="1"/>
        <v>1</v>
      </c>
    </row>
    <row r="214" ht="15.75" customHeight="1">
      <c r="A214" s="13" t="s">
        <v>39</v>
      </c>
      <c r="B214" s="13" t="s">
        <v>6</v>
      </c>
      <c r="C214" s="14" t="str">
        <f>Matrix!E24</f>
        <v>Positive</v>
      </c>
      <c r="D214" s="13">
        <f t="shared" si="1"/>
        <v>1</v>
      </c>
    </row>
    <row r="215" ht="15.75" customHeight="1">
      <c r="A215" s="13" t="s">
        <v>39</v>
      </c>
      <c r="B215" s="13" t="s">
        <v>7</v>
      </c>
      <c r="C215" s="14" t="str">
        <f>Matrix!F24</f>
        <v>Neutral</v>
      </c>
      <c r="D215" s="13">
        <f t="shared" si="1"/>
        <v>0</v>
      </c>
    </row>
    <row r="216" ht="15.75" customHeight="1">
      <c r="A216" s="13" t="s">
        <v>39</v>
      </c>
      <c r="B216" s="13" t="s">
        <v>8</v>
      </c>
      <c r="C216" s="14" t="str">
        <f>Matrix!G24</f>
        <v>Neutral</v>
      </c>
      <c r="D216" s="13">
        <f t="shared" si="1"/>
        <v>0</v>
      </c>
    </row>
    <row r="217" ht="15.75" customHeight="1">
      <c r="A217" s="13" t="s">
        <v>39</v>
      </c>
      <c r="B217" s="13" t="s">
        <v>9</v>
      </c>
      <c r="C217" s="14" t="str">
        <f>Matrix!H24</f>
        <v>Neutral</v>
      </c>
      <c r="D217" s="13">
        <f t="shared" si="1"/>
        <v>0</v>
      </c>
    </row>
    <row r="218" ht="15.75" customHeight="1">
      <c r="A218" s="13" t="s">
        <v>39</v>
      </c>
      <c r="B218" s="13" t="s">
        <v>10</v>
      </c>
      <c r="C218" s="14" t="str">
        <f>Matrix!I24</f>
        <v>Negative</v>
      </c>
      <c r="D218" s="13">
        <f t="shared" si="1"/>
        <v>-1</v>
      </c>
    </row>
    <row r="219" ht="15.75" customHeight="1">
      <c r="A219" s="13" t="s">
        <v>39</v>
      </c>
      <c r="B219" s="13" t="s">
        <v>11</v>
      </c>
      <c r="C219" s="14" t="str">
        <f>Matrix!J24</f>
        <v>Positive</v>
      </c>
      <c r="D219" s="13">
        <f t="shared" si="1"/>
        <v>1</v>
      </c>
    </row>
    <row r="220" ht="15.75" customHeight="1">
      <c r="A220" s="13" t="s">
        <v>39</v>
      </c>
      <c r="B220" s="13" t="s">
        <v>12</v>
      </c>
      <c r="C220" s="14" t="str">
        <f>Matrix!K24</f>
        <v>Negative</v>
      </c>
      <c r="D220" s="13">
        <f t="shared" si="1"/>
        <v>-1</v>
      </c>
    </row>
    <row r="221" ht="15.75" customHeight="1">
      <c r="A221" s="13" t="s">
        <v>39</v>
      </c>
      <c r="B221" s="13" t="s">
        <v>13</v>
      </c>
      <c r="C221" s="14" t="str">
        <f>Matrix!L24</f>
        <v>Negative</v>
      </c>
      <c r="D221" s="13">
        <f t="shared" si="1"/>
        <v>-1</v>
      </c>
    </row>
    <row r="222" ht="15.75" customHeight="1">
      <c r="A222" s="13" t="s">
        <v>40</v>
      </c>
      <c r="B222" s="13" t="s">
        <v>3</v>
      </c>
      <c r="C222" s="14" t="str">
        <f>Matrix!B25</f>
        <v>Positive</v>
      </c>
      <c r="D222" s="13">
        <f t="shared" si="1"/>
        <v>1</v>
      </c>
    </row>
    <row r="223" ht="15.75" customHeight="1">
      <c r="A223" s="13" t="s">
        <v>40</v>
      </c>
      <c r="B223" s="13" t="s">
        <v>4</v>
      </c>
      <c r="C223" s="14" t="str">
        <f>Matrix!C25</f>
        <v>Negative</v>
      </c>
      <c r="D223" s="13">
        <f t="shared" si="1"/>
        <v>-1</v>
      </c>
    </row>
    <row r="224" ht="15.75" customHeight="1">
      <c r="A224" s="13" t="s">
        <v>40</v>
      </c>
      <c r="B224" s="13" t="s">
        <v>5</v>
      </c>
      <c r="C224" s="14" t="str">
        <f>Matrix!D25</f>
        <v>Neutral</v>
      </c>
      <c r="D224" s="13">
        <f t="shared" si="1"/>
        <v>0</v>
      </c>
    </row>
    <row r="225" ht="15.75" customHeight="1">
      <c r="A225" s="13" t="s">
        <v>40</v>
      </c>
      <c r="B225" s="13" t="s">
        <v>6</v>
      </c>
      <c r="C225" s="14" t="str">
        <f>Matrix!E25</f>
        <v>Positive</v>
      </c>
      <c r="D225" s="13">
        <f t="shared" si="1"/>
        <v>1</v>
      </c>
    </row>
    <row r="226" ht="15.75" customHeight="1">
      <c r="A226" s="13" t="s">
        <v>40</v>
      </c>
      <c r="B226" s="13" t="s">
        <v>7</v>
      </c>
      <c r="C226" s="14" t="str">
        <f>Matrix!F25</f>
        <v>Neutral</v>
      </c>
      <c r="D226" s="13">
        <f t="shared" si="1"/>
        <v>0</v>
      </c>
    </row>
    <row r="227" ht="15.75" customHeight="1">
      <c r="A227" s="13" t="s">
        <v>40</v>
      </c>
      <c r="B227" s="13" t="s">
        <v>8</v>
      </c>
      <c r="C227" s="14" t="str">
        <f>Matrix!G25</f>
        <v>Positive</v>
      </c>
      <c r="D227" s="13">
        <f t="shared" si="1"/>
        <v>1</v>
      </c>
    </row>
    <row r="228" ht="15.75" customHeight="1">
      <c r="A228" s="13" t="s">
        <v>40</v>
      </c>
      <c r="B228" s="13" t="s">
        <v>9</v>
      </c>
      <c r="C228" s="14" t="str">
        <f>Matrix!H25</f>
        <v>Negative</v>
      </c>
      <c r="D228" s="13">
        <f t="shared" si="1"/>
        <v>-1</v>
      </c>
    </row>
    <row r="229" ht="15.75" customHeight="1">
      <c r="A229" s="13" t="s">
        <v>40</v>
      </c>
      <c r="B229" s="13" t="s">
        <v>10</v>
      </c>
      <c r="C229" s="14" t="str">
        <f>Matrix!I25</f>
        <v>Negative</v>
      </c>
      <c r="D229" s="13">
        <f t="shared" si="1"/>
        <v>-1</v>
      </c>
    </row>
    <row r="230" ht="15.75" customHeight="1">
      <c r="A230" s="13" t="s">
        <v>40</v>
      </c>
      <c r="B230" s="13" t="s">
        <v>11</v>
      </c>
      <c r="C230" s="14" t="str">
        <f>Matrix!J25</f>
        <v>Neutral</v>
      </c>
      <c r="D230" s="13">
        <f t="shared" si="1"/>
        <v>0</v>
      </c>
    </row>
    <row r="231" ht="15.75" customHeight="1">
      <c r="A231" s="13" t="s">
        <v>40</v>
      </c>
      <c r="B231" s="13" t="s">
        <v>12</v>
      </c>
      <c r="C231" s="14" t="str">
        <f>Matrix!K25</f>
        <v>Negative</v>
      </c>
      <c r="D231" s="13">
        <f t="shared" si="1"/>
        <v>-1</v>
      </c>
    </row>
    <row r="232" ht="15.75" customHeight="1">
      <c r="A232" s="13" t="s">
        <v>40</v>
      </c>
      <c r="B232" s="13" t="s">
        <v>13</v>
      </c>
      <c r="C232" s="14" t="str">
        <f>Matrix!L25</f>
        <v>Neutral</v>
      </c>
      <c r="D232" s="13">
        <f t="shared" si="1"/>
        <v>0</v>
      </c>
    </row>
    <row r="233" ht="15.75" customHeight="1">
      <c r="A233" s="13" t="s">
        <v>41</v>
      </c>
      <c r="B233" s="13" t="s">
        <v>3</v>
      </c>
      <c r="C233" s="14" t="str">
        <f>Matrix!B26</f>
        <v>Positive</v>
      </c>
      <c r="D233" s="13">
        <f t="shared" si="1"/>
        <v>1</v>
      </c>
    </row>
    <row r="234" ht="15.75" customHeight="1">
      <c r="A234" s="13" t="s">
        <v>41</v>
      </c>
      <c r="B234" s="13" t="s">
        <v>4</v>
      </c>
      <c r="C234" s="14" t="str">
        <f>Matrix!C26</f>
        <v>Negative</v>
      </c>
      <c r="D234" s="13">
        <f t="shared" si="1"/>
        <v>-1</v>
      </c>
    </row>
    <row r="235" ht="15.75" customHeight="1">
      <c r="A235" s="13" t="s">
        <v>41</v>
      </c>
      <c r="B235" s="13" t="s">
        <v>5</v>
      </c>
      <c r="C235" s="14" t="str">
        <f>Matrix!D26</f>
        <v>Neutral</v>
      </c>
      <c r="D235" s="13">
        <f t="shared" si="1"/>
        <v>0</v>
      </c>
    </row>
    <row r="236" ht="15.75" customHeight="1">
      <c r="A236" s="13" t="s">
        <v>41</v>
      </c>
      <c r="B236" s="13" t="s">
        <v>6</v>
      </c>
      <c r="C236" s="14" t="str">
        <f>Matrix!E26</f>
        <v>Neutral</v>
      </c>
      <c r="D236" s="13">
        <f t="shared" si="1"/>
        <v>0</v>
      </c>
    </row>
    <row r="237" ht="15.75" customHeight="1">
      <c r="A237" s="13" t="s">
        <v>41</v>
      </c>
      <c r="B237" s="13" t="s">
        <v>7</v>
      </c>
      <c r="C237" s="14" t="str">
        <f>Matrix!F26</f>
        <v>Positive</v>
      </c>
      <c r="D237" s="13">
        <f t="shared" si="1"/>
        <v>1</v>
      </c>
    </row>
    <row r="238" ht="15.75" customHeight="1">
      <c r="A238" s="13" t="s">
        <v>41</v>
      </c>
      <c r="B238" s="13" t="s">
        <v>8</v>
      </c>
      <c r="C238" s="14" t="str">
        <f>Matrix!G26</f>
        <v>Neutral</v>
      </c>
      <c r="D238" s="13">
        <f t="shared" si="1"/>
        <v>0</v>
      </c>
    </row>
    <row r="239" ht="15.75" customHeight="1">
      <c r="A239" s="13" t="s">
        <v>41</v>
      </c>
      <c r="B239" s="13" t="s">
        <v>9</v>
      </c>
      <c r="C239" s="14" t="str">
        <f>Matrix!H26</f>
        <v>Negative</v>
      </c>
      <c r="D239" s="13">
        <f t="shared" si="1"/>
        <v>-1</v>
      </c>
    </row>
    <row r="240" ht="15.75" customHeight="1">
      <c r="A240" s="13" t="s">
        <v>41</v>
      </c>
      <c r="B240" s="13" t="s">
        <v>10</v>
      </c>
      <c r="C240" s="14" t="str">
        <f>Matrix!I26</f>
        <v>Negative</v>
      </c>
      <c r="D240" s="13">
        <f t="shared" si="1"/>
        <v>-1</v>
      </c>
    </row>
    <row r="241" ht="15.75" customHeight="1">
      <c r="A241" s="13" t="s">
        <v>41</v>
      </c>
      <c r="B241" s="13" t="s">
        <v>11</v>
      </c>
      <c r="C241" s="14" t="str">
        <f>Matrix!J26</f>
        <v>Negative</v>
      </c>
      <c r="D241" s="13">
        <f t="shared" si="1"/>
        <v>-1</v>
      </c>
    </row>
    <row r="242" ht="15.75" customHeight="1">
      <c r="A242" s="13" t="s">
        <v>41</v>
      </c>
      <c r="B242" s="13" t="s">
        <v>12</v>
      </c>
      <c r="C242" s="14" t="str">
        <f>Matrix!K26</f>
        <v>Negative</v>
      </c>
      <c r="D242" s="13">
        <f t="shared" si="1"/>
        <v>-1</v>
      </c>
    </row>
    <row r="243" ht="15.75" customHeight="1">
      <c r="A243" s="13" t="s">
        <v>41</v>
      </c>
      <c r="B243" s="13" t="s">
        <v>13</v>
      </c>
      <c r="C243" s="14" t="str">
        <f>Matrix!L26</f>
        <v>Neutral</v>
      </c>
      <c r="D243" s="13">
        <f t="shared" si="1"/>
        <v>0</v>
      </c>
    </row>
    <row r="244" ht="15.75" customHeight="1">
      <c r="A244" s="13" t="s">
        <v>42</v>
      </c>
      <c r="B244" s="13" t="s">
        <v>3</v>
      </c>
      <c r="C244" s="14" t="str">
        <f>Matrix!B27</f>
        <v>Positive</v>
      </c>
      <c r="D244" s="13">
        <f t="shared" si="1"/>
        <v>1</v>
      </c>
    </row>
    <row r="245" ht="15.75" customHeight="1">
      <c r="A245" s="13" t="s">
        <v>42</v>
      </c>
      <c r="B245" s="13" t="s">
        <v>4</v>
      </c>
      <c r="C245" s="14" t="str">
        <f>Matrix!C27</f>
        <v>Negative</v>
      </c>
      <c r="D245" s="13">
        <f t="shared" si="1"/>
        <v>-1</v>
      </c>
    </row>
    <row r="246" ht="15.75" customHeight="1">
      <c r="A246" s="13" t="s">
        <v>42</v>
      </c>
      <c r="B246" s="13" t="s">
        <v>5</v>
      </c>
      <c r="C246" s="14" t="str">
        <f>Matrix!D27</f>
        <v>Neutral</v>
      </c>
      <c r="D246" s="13">
        <f t="shared" si="1"/>
        <v>0</v>
      </c>
    </row>
    <row r="247" ht="15.75" customHeight="1">
      <c r="A247" s="13" t="s">
        <v>42</v>
      </c>
      <c r="B247" s="13" t="s">
        <v>6</v>
      </c>
      <c r="C247" s="14" t="str">
        <f>Matrix!E27</f>
        <v>Positive</v>
      </c>
      <c r="D247" s="13">
        <f t="shared" si="1"/>
        <v>1</v>
      </c>
    </row>
    <row r="248" ht="15.75" customHeight="1">
      <c r="A248" s="13" t="s">
        <v>42</v>
      </c>
      <c r="B248" s="13" t="s">
        <v>7</v>
      </c>
      <c r="C248" s="14" t="str">
        <f>Matrix!F27</f>
        <v>Neutral</v>
      </c>
      <c r="D248" s="13">
        <f t="shared" si="1"/>
        <v>0</v>
      </c>
    </row>
    <row r="249" ht="15.75" customHeight="1">
      <c r="A249" s="13" t="s">
        <v>42</v>
      </c>
      <c r="B249" s="13" t="s">
        <v>8</v>
      </c>
      <c r="C249" s="14" t="str">
        <f>Matrix!G27</f>
        <v>Neutral</v>
      </c>
      <c r="D249" s="13">
        <f t="shared" si="1"/>
        <v>0</v>
      </c>
    </row>
    <row r="250" ht="15.75" customHeight="1">
      <c r="A250" s="13" t="s">
        <v>42</v>
      </c>
      <c r="B250" s="13" t="s">
        <v>9</v>
      </c>
      <c r="C250" s="14" t="str">
        <f>Matrix!H27</f>
        <v>Neutral</v>
      </c>
      <c r="D250" s="13">
        <f t="shared" si="1"/>
        <v>0</v>
      </c>
    </row>
    <row r="251" ht="15.75" customHeight="1">
      <c r="A251" s="13" t="s">
        <v>42</v>
      </c>
      <c r="B251" s="13" t="s">
        <v>10</v>
      </c>
      <c r="C251" s="14" t="str">
        <f>Matrix!I27</f>
        <v>Negative</v>
      </c>
      <c r="D251" s="13">
        <f t="shared" si="1"/>
        <v>-1</v>
      </c>
    </row>
    <row r="252" ht="15.75" customHeight="1">
      <c r="A252" s="13" t="s">
        <v>42</v>
      </c>
      <c r="B252" s="13" t="s">
        <v>11</v>
      </c>
      <c r="C252" s="14" t="str">
        <f>Matrix!J27</f>
        <v>Neutral</v>
      </c>
      <c r="D252" s="13">
        <f t="shared" si="1"/>
        <v>0</v>
      </c>
    </row>
    <row r="253" ht="15.75" customHeight="1">
      <c r="A253" s="13" t="s">
        <v>42</v>
      </c>
      <c r="B253" s="13" t="s">
        <v>12</v>
      </c>
      <c r="C253" s="14" t="str">
        <f>Matrix!K27</f>
        <v>Negative</v>
      </c>
      <c r="D253" s="13">
        <f t="shared" si="1"/>
        <v>-1</v>
      </c>
    </row>
    <row r="254" ht="15.75" customHeight="1">
      <c r="A254" s="13" t="s">
        <v>42</v>
      </c>
      <c r="B254" s="13" t="s">
        <v>13</v>
      </c>
      <c r="C254" s="14" t="str">
        <f>Matrix!L27</f>
        <v>Neutral</v>
      </c>
      <c r="D254" s="13">
        <f t="shared" si="1"/>
        <v>0</v>
      </c>
    </row>
    <row r="255" ht="15.75" customHeight="1"/>
    <row r="256" ht="15.75" customHeight="1">
      <c r="A256" s="2" t="s">
        <v>46</v>
      </c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254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95.0"/>
    <col customWidth="1" min="3" max="26" width="8.71"/>
  </cols>
  <sheetData>
    <row r="1">
      <c r="A1" s="15" t="s">
        <v>47</v>
      </c>
      <c r="B1" s="15" t="s">
        <v>48</v>
      </c>
    </row>
    <row r="2">
      <c r="A2" s="16" t="s">
        <v>17</v>
      </c>
      <c r="B2" s="17" t="s">
        <v>49</v>
      </c>
    </row>
    <row r="3">
      <c r="A3" s="16" t="s">
        <v>22</v>
      </c>
      <c r="B3" s="17" t="s">
        <v>50</v>
      </c>
    </row>
    <row r="4">
      <c r="A4" s="16" t="s">
        <v>51</v>
      </c>
      <c r="B4" s="17" t="s">
        <v>52</v>
      </c>
    </row>
    <row r="5">
      <c r="A5" s="16" t="s">
        <v>53</v>
      </c>
      <c r="B5" s="17" t="s">
        <v>54</v>
      </c>
    </row>
    <row r="6">
      <c r="A6" s="16" t="s">
        <v>55</v>
      </c>
      <c r="B6" s="17" t="s">
        <v>56</v>
      </c>
    </row>
    <row r="7">
      <c r="A7" s="16" t="s">
        <v>32</v>
      </c>
      <c r="B7" s="17" t="s">
        <v>57</v>
      </c>
    </row>
    <row r="8">
      <c r="A8" s="16" t="s">
        <v>58</v>
      </c>
      <c r="B8" s="17" t="s">
        <v>59</v>
      </c>
    </row>
    <row r="9">
      <c r="A9" s="16" t="s">
        <v>41</v>
      </c>
      <c r="B9" s="17" t="s">
        <v>60</v>
      </c>
    </row>
    <row r="10">
      <c r="A10" s="16" t="s">
        <v>39</v>
      </c>
      <c r="B10" s="17" t="s">
        <v>61</v>
      </c>
    </row>
    <row r="11">
      <c r="A11" s="16" t="s">
        <v>26</v>
      </c>
      <c r="B11" s="17" t="s">
        <v>62</v>
      </c>
    </row>
    <row r="12">
      <c r="A12" s="16" t="s">
        <v>63</v>
      </c>
      <c r="B12" s="17" t="s">
        <v>64</v>
      </c>
    </row>
    <row r="13">
      <c r="A13" s="16" t="s">
        <v>65</v>
      </c>
      <c r="B13" s="17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